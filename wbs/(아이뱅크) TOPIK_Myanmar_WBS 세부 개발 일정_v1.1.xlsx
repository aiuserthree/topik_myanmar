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wbs/"/>
    </mc:Choice>
  </mc:AlternateContent>
  <xr:revisionPtr revIDLastSave="0" documentId="13_ncr:1_{FED7810E-7F85-8B41-834B-1D38645D5127}" xr6:coauthVersionLast="47" xr6:coauthVersionMax="47" xr10:uidLastSave="{00000000-0000-0000-0000-000000000000}"/>
  <bookViews>
    <workbookView xWindow="0" yWindow="660" windowWidth="30240" windowHeight="17500" xr2:uid="{00000000-000D-0000-FFFF-FFFF00000000}"/>
  </bookViews>
  <sheets>
    <sheet name="WBS 세부 개발 일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5" i="1"/>
  <c r="Q5" i="1"/>
  <c r="M5" i="1"/>
  <c r="Q3" i="1"/>
  <c r="M3" i="1"/>
  <c r="U6" i="1" l="1"/>
  <c r="Q6" i="1"/>
  <c r="M6" i="1"/>
  <c r="H3" i="1" s="1"/>
  <c r="U4" i="1"/>
  <c r="Q4" i="1"/>
  <c r="M4" i="1"/>
</calcChain>
</file>

<file path=xl/sharedStrings.xml><?xml version="1.0" encoding="utf-8"?>
<sst xmlns="http://schemas.openxmlformats.org/spreadsheetml/2006/main" count="1079" uniqueCount="252">
  <si>
    <t>주미얀마대사관 한국어능력시험 
웹사이트 제작 프로젝트</t>
  </si>
  <si>
    <t>전체 진행률</t>
  </si>
  <si>
    <t>가중치</t>
  </si>
  <si>
    <t>업무구분</t>
  </si>
  <si>
    <t>기획/디자인</t>
  </si>
  <si>
    <t>개발</t>
  </si>
  <si>
    <t>검수</t>
  </si>
  <si>
    <t xml:space="preserve">전체 </t>
  </si>
  <si>
    <t>미완료</t>
  </si>
  <si>
    <t>완료</t>
  </si>
  <si>
    <t>기/디</t>
  </si>
  <si>
    <t>QA</t>
  </si>
  <si>
    <t>오픈</t>
  </si>
  <si>
    <t>진행률</t>
  </si>
  <si>
    <t>구분</t>
  </si>
  <si>
    <t>타입</t>
  </si>
  <si>
    <t>1depth</t>
  </si>
  <si>
    <t>2depth</t>
  </si>
  <si>
    <t>3depth</t>
  </si>
  <si>
    <t>4depth</t>
  </si>
  <si>
    <t>Spec</t>
  </si>
  <si>
    <t>비고</t>
  </si>
  <si>
    <t>26년 5월</t>
  </si>
  <si>
    <t>26년 6월</t>
  </si>
  <si>
    <t>26년 7월</t>
  </si>
  <si>
    <t>담당자</t>
  </si>
  <si>
    <t>시작일</t>
  </si>
  <si>
    <t>완료 예정일</t>
  </si>
  <si>
    <t>1w
1</t>
  </si>
  <si>
    <t>2w
4~8</t>
  </si>
  <si>
    <t>3w
11~15</t>
  </si>
  <si>
    <t>4w
18~22</t>
  </si>
  <si>
    <t>5w
25~29</t>
  </si>
  <si>
    <t>1w
1~5</t>
  </si>
  <si>
    <t>2w
8~12</t>
  </si>
  <si>
    <t>3w
15~19</t>
  </si>
  <si>
    <t>4w
22~26</t>
  </si>
  <si>
    <t>5w
29~30</t>
  </si>
  <si>
    <t>1w
1~3</t>
  </si>
  <si>
    <t>2w
6~10</t>
  </si>
  <si>
    <t>3w
13~17</t>
  </si>
  <si>
    <t>4w
20~24</t>
  </si>
  <si>
    <t>5w
27~31</t>
  </si>
  <si>
    <t>요구사항 정의서</t>
  </si>
  <si>
    <t>1차</t>
  </si>
  <si>
    <t>조준형</t>
  </si>
  <si>
    <t>IA/메뉴구조도</t>
  </si>
  <si>
    <t>기능정의서</t>
  </si>
  <si>
    <t>FO</t>
  </si>
  <si>
    <t>컴포넌트</t>
  </si>
  <si>
    <t>공통</t>
  </si>
  <si>
    <t>GNB</t>
  </si>
  <si>
    <t>4대 메뉴 구조 적용</t>
  </si>
  <si>
    <t>박상현</t>
  </si>
  <si>
    <t>언어 전환</t>
  </si>
  <si>
    <t>i18n.js 기반 · 모든 페이지 공통</t>
  </si>
  <si>
    <t>모바일 메뉴</t>
  </si>
  <si>
    <t>로그인 가드</t>
  </si>
  <si>
    <t>로그인 필수 5개 메뉴</t>
  </si>
  <si>
    <t>Footer</t>
  </si>
  <si>
    <t>페이지</t>
  </si>
  <si>
    <t>홈</t>
  </si>
  <si>
    <t>메인 · 홈</t>
  </si>
  <si>
    <t>비로그인 시 회원가입/로그인 CTA, 로그인 시 접수 CTA 강조</t>
  </si>
  <si>
    <t>섹션</t>
  </si>
  <si>
    <t>히어로</t>
  </si>
  <si>
    <t>초 단위 setInterval</t>
  </si>
  <si>
    <t>공지 미리보기</t>
  </si>
  <si>
    <t>BO 공지(TPKM_BO_REQ_011)와 연동</t>
  </si>
  <si>
    <t>시험 일정 타임라인</t>
  </si>
  <si>
    <t>퀵링크/FAQ 요약</t>
  </si>
  <si>
    <t>TOPIK 안내</t>
  </si>
  <si>
    <t>시험 개요</t>
  </si>
  <si>
    <t>참고 사이트: https://topik.jiks.com/</t>
  </si>
  <si>
    <t>시험 소개</t>
  </si>
  <si>
    <t>문항 구성</t>
  </si>
  <si>
    <t>평가 기준</t>
  </si>
  <si>
    <t>TOPIK 규정</t>
  </si>
  <si>
    <t>유의 사항</t>
  </si>
  <si>
    <t>답안 작성 요령</t>
  </si>
  <si>
    <t>응시료 규정</t>
  </si>
  <si>
    <t>환불 절차는 게시판 ‘환불·정보정정신청’과 연계</t>
  </si>
  <si>
    <t>신분증 규정</t>
  </si>
  <si>
    <t>TOPIK 접수</t>
  </si>
  <si>
    <t>접수 방법</t>
  </si>
  <si>
    <t>로그인 없이도 안내 페이지로 노출</t>
  </si>
  <si>
    <t>시험 접수</t>
  </si>
  <si>
    <t>로그인 권장 → 필수, 정보·사진 수정 불가, TOPIK Ⅰ·Ⅱ 동시 접수 지원</t>
  </si>
  <si>
    <t>STEP1 회차·급수 선택</t>
  </si>
  <si>
    <t>Ⅰ·Ⅱ 동시 접수 케이스 지원</t>
  </si>
  <si>
    <t>STEP2 회원정보 확인</t>
  </si>
  <si>
    <t>추가 정보변경 불가</t>
  </si>
  <si>
    <t>STEP3 사진 규격 확인</t>
  </si>
  <si>
    <t>추가 사진 업로드 불가, 규격 확인만</t>
  </si>
  <si>
    <t>STEP4 최종 확인</t>
  </si>
  <si>
    <t>모달</t>
  </si>
  <si>
    <t>접수 완료 안내</t>
  </si>
  <si>
    <t>디자인 모달 권장 · 공지사항 링크 + 마이페이지 이동 버튼</t>
  </si>
  <si>
    <t>접수 확인</t>
  </si>
  <si>
    <t>로그인 필수</t>
  </si>
  <si>
    <t>상태 배지</t>
  </si>
  <si>
    <t>BO 상태(TPKM_BO_REQ_001~002)와 동기</t>
  </si>
  <si>
    <t>접수 확인증(인쇄)</t>
  </si>
  <si>
    <t>접수 취소 확인</t>
  </si>
  <si>
    <t>환불 정책: 응시료 규정 페이지 + 게시판</t>
  </si>
  <si>
    <t>수험표 출력</t>
  </si>
  <si>
    <t>본인 확인 후 topik.go.kr 안내·외부 이동</t>
  </si>
  <si>
    <t>영문 성명(여권 표기) + 생년월일 8자리(YYYYMMDD) 입력 후 [확인]. 로그인 계정 정보와 일치 시 STEP B 진입. 미입력/미일치 시 에러 알림(TPKM_FO_4_4_4).</t>
  </si>
  <si>
    <t>본인 확인 실패 시 잠금 정책 협의</t>
  </si>
  <si>
    <t>안내글</t>
  </si>
  <si>
    <t>수험표 안내 FAQ·다국어 제공 여부 협의</t>
  </si>
  <si>
    <t>TOPIK 홈페이지 이동</t>
  </si>
  <si>
    <t>topik.go.kr 링크·새 창 정책 확인</t>
  </si>
  <si>
    <t>에러 알림</t>
  </si>
  <si>
    <t>게시판</t>
  </si>
  <si>
    <t>공지사항</t>
  </si>
  <si>
    <t>BO TPKM_BO_REQ_011 연동</t>
  </si>
  <si>
    <t>목록</t>
  </si>
  <si>
    <t>상세</t>
  </si>
  <si>
    <t>환불·정보정정신청</t>
  </si>
  <si>
    <t>자유게시판 + 비밀글 형태</t>
  </si>
  <si>
    <t>작성</t>
  </si>
  <si>
    <t>비밀글 체크 시 비밀번호 별도 입력</t>
  </si>
  <si>
    <t>BO 게시판 관리 답글 기능과 연동</t>
  </si>
  <si>
    <t>레이어 팝업</t>
  </si>
  <si>
    <t>비밀글 잠금 해제</t>
  </si>
  <si>
    <t>문의게시판</t>
  </si>
  <si>
    <t>일반/비밀 구분</t>
  </si>
  <si>
    <t>비밀글 체크 시 비밀번호 입력</t>
  </si>
  <si>
    <t>상세 + 답글</t>
  </si>
  <si>
    <t>BO 게시판 관리와 연계</t>
  </si>
  <si>
    <t>FAQ</t>
  </si>
  <si>
    <t>i18n.js 기반 다국어</t>
  </si>
  <si>
    <t>계정</t>
  </si>
  <si>
    <t>로그인</t>
  </si>
  <si>
    <t>?next= 파라미터 보존(로그인 후 원래 위치 복귀)</t>
  </si>
  <si>
    <t>아이디(이메일) 찾기</t>
  </si>
  <si>
    <t>아이디 찾기 조회 횟수·마스킹 노출 정책 협의</t>
  </si>
  <si>
    <t>비밀번호 찾기</t>
  </si>
  <si>
    <t>회원가입</t>
  </si>
  <si>
    <t>STEP1 기본 정보+사진</t>
  </si>
  <si>
    <t>사진은 회원가입 시 등록한 사진만 사용(접수 시 추가 업로드 불가)</t>
  </si>
  <si>
    <t>STEP2 계정 설정</t>
  </si>
  <si>
    <t>STEP3 약관 동의</t>
  </si>
  <si>
    <t>동의 시점/버전 보관 정책 별도</t>
  </si>
  <si>
    <t>가입 완료</t>
  </si>
  <si>
    <t>디자인 모달 전환 권장</t>
  </si>
  <si>
    <t>마이페이지·내정보수정</t>
  </si>
  <si>
    <t>성명·생년월일 등 본인 식별 정보는 정정 게시판 → BO 검토 경로</t>
  </si>
  <si>
    <t>외부링크</t>
  </si>
  <si>
    <t>외부</t>
  </si>
  <si>
    <t>TOPIK 본부</t>
  </si>
  <si>
    <t>새 창(target=_blank, rel=noopener)</t>
  </si>
  <si>
    <t>NIIED</t>
  </si>
  <si>
    <t>새 창</t>
  </si>
  <si>
    <t>BO</t>
  </si>
  <si>
    <t>인증</t>
  </si>
  <si>
    <t>관리자 로그인</t>
  </si>
  <si>
    <t>로그아웃</t>
  </si>
  <si>
    <t>사이드바 푸터 링크</t>
  </si>
  <si>
    <t>공통 레이아웃</t>
  </si>
  <si>
    <t>사이드바</t>
  </si>
  <si>
    <t>모바일은 토글(햄버거)</t>
  </si>
  <si>
    <t>알림 배지</t>
  </si>
  <si>
    <t>게시판 통계 포함</t>
  </si>
  <si>
    <t>탑바</t>
  </si>
  <si>
    <t>대시보드</t>
  </si>
  <si>
    <t>KPI 카드</t>
  </si>
  <si>
    <t>최근 접수</t>
  </si>
  <si>
    <t>접수 관리</t>
  </si>
  <si>
    <t>접수자 목록</t>
  </si>
  <si>
    <t>회차 컨텍스트는 헤더에 노출</t>
  </si>
  <si>
    <t>필터/검색</t>
  </si>
  <si>
    <t>데이터 그리드</t>
  </si>
  <si>
    <t>연명부 컬럼 정합성 — 고객사 수정(0519)</t>
  </si>
  <si>
    <t>오프라인 수납</t>
  </si>
  <si>
    <t>고객사 수정(0519) — 동시 작업 + 아이디별 이력 추적</t>
  </si>
  <si>
    <t>승인 처리</t>
  </si>
  <si>
    <t>반려 처리</t>
  </si>
  <si>
    <t>사유 필수</t>
  </si>
  <si>
    <t>행 상세 보기</t>
  </si>
  <si>
    <t>수험번호 일괄 부여</t>
  </si>
  <si>
    <t>고객사 수정(0519) — ‘수험번호 부여 안내’ 엑셀 원칙 적용. 회차·시험장·수준별 응시자 코드는 0001부터 순차 채번</t>
  </si>
  <si>
    <t>엑셀 내보내기(연명부 양식)</t>
  </si>
  <si>
    <t>고객사 수정(0519) — ‘연명부 양식’ 엑셀 양식 준수</t>
  </si>
  <si>
    <t>사진 일괄 다운로드</t>
  </si>
  <si>
    <t>고객사 수정(0519) — ‘연명부 및 사진제출 안내’ 규칙 준수</t>
  </si>
  <si>
    <t>인쇄</t>
  </si>
  <si>
    <t>사진 심사</t>
  </si>
  <si>
    <t>심사 카드</t>
  </si>
  <si>
    <t>‘저장(회전 등 보정)’ 옵션 검토</t>
  </si>
  <si>
    <t>승인</t>
  </si>
  <si>
    <t>반려(사유 필수)</t>
  </si>
  <si>
    <t>시험 관리</t>
  </si>
  <si>
    <t>회차 관리</t>
  </si>
  <si>
    <t>회차 목록</t>
  </si>
  <si>
    <t>회차 등록 폼</t>
  </si>
  <si>
    <t>회차 수정</t>
  </si>
  <si>
    <t>시험장 관리</t>
  </si>
  <si>
    <t>고객사 수정(0519) — 수험번호 13자리 채번 위해 마스터 데이터 필요</t>
  </si>
  <si>
    <t>시험장 목록</t>
  </si>
  <si>
    <t>시험장 등록·수정</t>
  </si>
  <si>
    <t>콘텐츠</t>
  </si>
  <si>
    <t>공지사항 관리</t>
  </si>
  <si>
    <t>FO notice.html과 연동</t>
  </si>
  <si>
    <t>공지 작성</t>
  </si>
  <si>
    <t>공지 수정</t>
  </si>
  <si>
    <t>공지 삭제</t>
  </si>
  <si>
    <t>목록 표</t>
  </si>
  <si>
    <t>FAQ 관리</t>
  </si>
  <si>
    <t>FAQ 등록</t>
  </si>
  <si>
    <t>FAQ 수정</t>
  </si>
  <si>
    <t>FAQ 삭제</t>
  </si>
  <si>
    <t>환불·정보정정신청 관리</t>
  </si>
  <si>
    <t>고객사 수정(0519) 신규</t>
  </si>
  <si>
    <t>목록/필터</t>
  </si>
  <si>
    <t>전 게시글 비밀글 — 비밀글 필터 없음</t>
  </si>
  <si>
    <t>상세 + 답변</t>
  </si>
  <si>
    <t>삭제</t>
  </si>
  <si>
    <t>문의게시판 관리</t>
  </si>
  <si>
    <t>회원·약관</t>
  </si>
  <si>
    <t>회원 관리</t>
  </si>
  <si>
    <t>회원 상세 보기</t>
  </si>
  <si>
    <t>회원 정보 수정</t>
  </si>
  <si>
    <t>회원 정지</t>
  </si>
  <si>
    <t>회원 탈퇴</t>
  </si>
  <si>
    <t>엑셀 다운로드</t>
  </si>
  <si>
    <t>비밀번호 초기화</t>
  </si>
  <si>
    <t>약관 관리</t>
  </si>
  <si>
    <t>버전 목록 표</t>
  </si>
  <si>
    <t>약관 등록</t>
  </si>
  <si>
    <t>약관 수정</t>
  </si>
  <si>
    <t>약관 미리보기</t>
  </si>
  <si>
    <t>약관 게시</t>
  </si>
  <si>
    <t>약관 폐지</t>
  </si>
  <si>
    <t>동의 이력 조회</t>
  </si>
  <si>
    <t>시스템</t>
  </si>
  <si>
    <t>관리자 계정 관리</t>
  </si>
  <si>
    <t>고객사 수정(0519) 신규 — 여러 명이 별도 아이디로 동시 작업</t>
  </si>
  <si>
    <t>계정 목록</t>
  </si>
  <si>
    <t>계정 등록</t>
  </si>
  <si>
    <t>계정 수정</t>
  </si>
  <si>
    <t>계정 비활성</t>
  </si>
  <si>
    <t>관리자 권한 관리</t>
  </si>
  <si>
    <t>권한 매트릭스</t>
  </si>
  <si>
    <t>관리자 처리 이력</t>
  </si>
  <si>
    <t>고객사 수정(0519) 신규 — 아이디별 수정 이력 확인</t>
  </si>
  <si>
    <t>상세 보기</t>
  </si>
  <si>
    <t>사이트 보기</t>
  </si>
  <si>
    <t>단위테스트</t>
  </si>
  <si>
    <t>테스트</t>
  </si>
  <si>
    <t>통합테스트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</si>
</sst>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yyyy\-mm\-dd"/>
    <numFmt numFmtId="178" formatCode="m&quot;. &quot;d"/>
    <numFmt numFmtId="179" formatCode="0.0%"/>
  </numFmts>
  <fonts count="29">
    <font>
      <sz val="11"/>
      <color theme="1"/>
      <name val="Calibri"/>
      <scheme val="minor"/>
    </font>
    <font>
      <b/>
      <sz val="16"/>
      <color rgb="FFFF0000"/>
      <name val="Gulim"/>
      <family val="2"/>
      <charset val="129"/>
    </font>
    <font>
      <b/>
      <sz val="9"/>
      <color theme="1"/>
      <name val="Gulim"/>
      <family val="2"/>
      <charset val="129"/>
    </font>
    <font>
      <b/>
      <sz val="18"/>
      <color rgb="FF000000"/>
      <name val="Gulim"/>
      <family val="2"/>
      <charset val="129"/>
    </font>
    <font>
      <b/>
      <sz val="12"/>
      <color theme="1"/>
      <name val="Gulim"/>
      <family val="2"/>
      <charset val="129"/>
    </font>
    <font>
      <b/>
      <sz val="8"/>
      <color theme="1"/>
      <name val="Gulim"/>
      <family val="2"/>
      <charset val="129"/>
    </font>
    <font>
      <sz val="9"/>
      <color rgb="FF000000"/>
      <name val="Gulim"/>
      <family val="2"/>
      <charset val="129"/>
    </font>
    <font>
      <sz val="11"/>
      <color theme="1"/>
      <name val="Gulim"/>
      <family val="2"/>
      <charset val="129"/>
    </font>
    <font>
      <sz val="11"/>
      <name val="Calibri"/>
      <family val="2"/>
    </font>
    <font>
      <b/>
      <sz val="16"/>
      <color rgb="FF000000"/>
      <name val="Gulim"/>
      <family val="2"/>
      <charset val="129"/>
    </font>
    <font>
      <b/>
      <sz val="8"/>
      <color rgb="FF000000"/>
      <name val="Gulim"/>
      <family val="2"/>
      <charset val="129"/>
    </font>
    <font>
      <sz val="8"/>
      <color rgb="FF000000"/>
      <name val="Gulim"/>
      <family val="2"/>
      <charset val="129"/>
    </font>
    <font>
      <b/>
      <sz val="21"/>
      <color rgb="FF999999"/>
      <name val="Gulim"/>
      <family val="2"/>
      <charset val="129"/>
    </font>
    <font>
      <b/>
      <sz val="11"/>
      <color theme="1"/>
      <name val="Gulim"/>
      <family val="2"/>
      <charset val="129"/>
    </font>
    <font>
      <sz val="8"/>
      <color theme="1"/>
      <name val="Gulim"/>
      <family val="2"/>
      <charset val="129"/>
    </font>
    <font>
      <u/>
      <sz val="9"/>
      <color rgb="FF0000FF"/>
      <name val="Gulim"/>
      <family val="2"/>
      <charset val="129"/>
    </font>
    <font>
      <b/>
      <sz val="9"/>
      <color rgb="FF000000"/>
      <name val="Gulim"/>
      <family val="2"/>
      <charset val="129"/>
    </font>
    <font>
      <b/>
      <sz val="9"/>
      <color rgb="FFFF0000"/>
      <name val="Gulim"/>
      <family val="2"/>
      <charset val="129"/>
    </font>
    <font>
      <u/>
      <sz val="9"/>
      <color theme="10"/>
      <name val="Gulim"/>
      <family val="2"/>
      <charset val="129"/>
    </font>
    <font>
      <b/>
      <sz val="11"/>
      <color rgb="FF0000FF"/>
      <name val="Gulim"/>
      <family val="2"/>
      <charset val="129"/>
    </font>
    <font>
      <b/>
      <sz val="12"/>
      <color rgb="FF0000FF"/>
      <name val="Gulim"/>
      <family val="2"/>
      <charset val="129"/>
    </font>
    <font>
      <sz val="9"/>
      <color theme="1"/>
      <name val="Gulim"/>
      <family val="2"/>
      <charset val="129"/>
    </font>
    <font>
      <sz val="10"/>
      <color theme="1"/>
      <name val="Gulim"/>
      <family val="2"/>
      <charset val="129"/>
    </font>
    <font>
      <b/>
      <sz val="9"/>
      <color rgb="FFFFFFFF"/>
      <name val="Gulim"/>
      <family val="2"/>
      <charset val="129"/>
    </font>
    <font>
      <b/>
      <sz val="10"/>
      <color theme="1"/>
      <name val="Gulim"/>
      <family val="2"/>
      <charset val="129"/>
    </font>
    <font>
      <sz val="8"/>
      <name val="Calibri"/>
      <family val="3"/>
      <charset val="129"/>
      <scheme val="minor"/>
    </font>
    <font>
      <sz val="9"/>
      <name val="굴림"/>
      <family val="2"/>
      <charset val="129"/>
    </font>
    <font>
      <sz val="9"/>
      <color theme="0"/>
      <name val="Gulim"/>
      <family val="2"/>
      <charset val="129"/>
    </font>
    <font>
      <sz val="8"/>
      <name val="Gulim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rgb="FFE5B8B7"/>
        <bgColor rgb="FFE5B8B7"/>
      </patternFill>
    </fill>
    <fill>
      <patternFill patternType="solid">
        <fgColor theme="9"/>
        <bgColor theme="9"/>
      </patternFill>
    </fill>
    <fill>
      <patternFill patternType="solid">
        <fgColor rgb="FF434343"/>
        <bgColor rgb="FF43434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3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ck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/>
      <right style="thick">
        <color rgb="FF000000"/>
      </right>
      <top style="thick">
        <color rgb="FF000000"/>
      </top>
      <bottom style="hair">
        <color rgb="FF000000"/>
      </bottom>
      <diagonal/>
    </border>
    <border>
      <left/>
      <right style="hair">
        <color rgb="FF000000"/>
      </right>
      <top style="thick">
        <color rgb="FF000000"/>
      </top>
      <bottom style="hair">
        <color rgb="FF000000"/>
      </bottom>
      <diagonal/>
    </border>
    <border>
      <left/>
      <right/>
      <top style="thick">
        <color rgb="FF000000"/>
      </top>
      <bottom style="hair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hair">
        <color rgb="FF000000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ck">
        <color rgb="FF000000"/>
      </left>
      <right style="hair">
        <color rgb="FF000000"/>
      </right>
      <top/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/>
      <right/>
      <top style="hair">
        <color rgb="FF000000"/>
      </top>
      <bottom style="thick">
        <color rgb="FF000000"/>
      </bottom>
      <diagonal/>
    </border>
    <border>
      <left/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hair">
        <color rgb="FFFFFFFF"/>
      </right>
      <top/>
      <bottom/>
      <diagonal/>
    </border>
    <border>
      <left style="hair">
        <color rgb="FFFFFFFF"/>
      </left>
      <right style="thin">
        <color rgb="FFFFFFFF"/>
      </right>
      <top style="thin">
        <color rgb="FFFFFFFF"/>
      </top>
      <bottom/>
      <diagonal/>
    </border>
    <border>
      <left style="hair">
        <color rgb="FFFFFFFF"/>
      </left>
      <right style="hair">
        <color rgb="FFFFFFFF"/>
      </right>
      <top/>
      <bottom/>
      <diagonal/>
    </border>
    <border>
      <left style="hair">
        <color rgb="FFFFFFFF"/>
      </left>
      <right style="hair">
        <color rgb="FFFFFFFF"/>
      </right>
      <top/>
      <bottom/>
      <diagonal/>
    </border>
    <border>
      <left style="hair">
        <color rgb="FFFFFFFF"/>
      </left>
      <right style="hair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/>
      <diagonal/>
    </border>
    <border>
      <left/>
      <right/>
      <top style="thick">
        <color rgb="FF000000"/>
      </top>
      <bottom style="hair">
        <color rgb="FFFFFFFF"/>
      </bottom>
      <diagonal/>
    </border>
    <border>
      <left/>
      <right style="thick">
        <color rgb="FF000000"/>
      </right>
      <top style="thick">
        <color rgb="FF000000"/>
      </top>
      <bottom style="hair">
        <color rgb="FFFFFFFF"/>
      </bottom>
      <diagonal/>
    </border>
    <border>
      <left style="thick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hair">
        <color rgb="FFFFFFFF"/>
      </right>
      <top/>
      <bottom style="medium">
        <color rgb="FF000000"/>
      </bottom>
      <diagonal/>
    </border>
    <border>
      <left style="hair">
        <color rgb="FFFFFFFF"/>
      </left>
      <right style="hair">
        <color rgb="FFFFFFFF"/>
      </right>
      <top/>
      <bottom style="medium">
        <color rgb="FF000000"/>
      </bottom>
      <diagonal/>
    </border>
    <border>
      <left style="hair">
        <color rgb="FFFFFFFF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hair">
        <color rgb="FFFFFFFF"/>
      </right>
      <top style="hair">
        <color rgb="FFFFFFFF"/>
      </top>
      <bottom style="thick">
        <color rgb="FF000000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thick">
        <color rgb="FF000000"/>
      </bottom>
      <diagonal/>
    </border>
    <border>
      <left style="hair">
        <color rgb="FFFFFFFF"/>
      </left>
      <right style="thick">
        <color rgb="FF000000"/>
      </right>
      <top style="hair">
        <color rgb="FFFFFFFF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ck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/>
      <top style="thin">
        <color rgb="FFFFFFFF"/>
      </top>
      <bottom style="thick">
        <color rgb="FF000000"/>
      </bottom>
      <diagonal/>
    </border>
    <border>
      <left/>
      <right style="hair">
        <color rgb="FFFFFFFF"/>
      </right>
      <top style="hair">
        <color rgb="FFFFFFFF"/>
      </top>
      <bottom style="thick">
        <color rgb="FF000000"/>
      </bottom>
      <diagonal/>
    </border>
    <border>
      <left/>
      <right style="thin">
        <color theme="0" tint="-0.249977111117893"/>
      </right>
      <top style="thick">
        <color rgb="FF000000"/>
      </top>
      <bottom style="hair">
        <color rgb="FF000000"/>
      </bottom>
      <diagonal/>
    </border>
    <border>
      <left/>
      <right style="thin">
        <color theme="0" tint="-0.249977111117893"/>
      </right>
      <top style="hair">
        <color rgb="FF000000"/>
      </top>
      <bottom style="hair">
        <color rgb="FF000000"/>
      </bottom>
      <diagonal/>
    </border>
    <border>
      <left/>
      <right style="thin">
        <color theme="0" tint="-0.249977111117893"/>
      </right>
      <top style="hair">
        <color rgb="FF000000"/>
      </top>
      <bottom style="thick">
        <color rgb="FF000000"/>
      </bottom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hair">
        <color rgb="FFFFFFFF"/>
      </right>
      <top style="hair">
        <color rgb="FFFFFFFF"/>
      </top>
      <bottom style="thick">
        <color rgb="FF000000"/>
      </bottom>
      <diagonal/>
    </border>
    <border>
      <left/>
      <right style="thick">
        <color theme="1"/>
      </right>
      <top style="hair">
        <color rgb="FFFFFFFF"/>
      </top>
      <bottom style="thick">
        <color rgb="FF000000"/>
      </bottom>
      <diagonal/>
    </border>
    <border>
      <left style="thick">
        <color theme="1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/>
      <right style="thick">
        <color indexed="64"/>
      </right>
      <top style="thick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ck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indexed="64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/>
      <right style="thick">
        <color theme="1"/>
      </right>
      <top style="hair">
        <color rgb="FF000000"/>
      </top>
      <bottom style="hair">
        <color rgb="FF000000"/>
      </bottom>
      <diagonal/>
    </border>
    <border>
      <left style="hair">
        <color theme="1"/>
      </left>
      <right style="thick">
        <color indexed="64"/>
      </right>
      <top style="thick">
        <color rgb="FF000000"/>
      </top>
      <bottom style="hair">
        <color theme="1"/>
      </bottom>
      <diagonal/>
    </border>
    <border>
      <left style="hair">
        <color theme="1"/>
      </left>
      <right style="thick">
        <color indexed="64"/>
      </right>
      <top style="hair">
        <color theme="1"/>
      </top>
      <bottom style="hair">
        <color theme="1"/>
      </bottom>
      <diagonal/>
    </border>
    <border>
      <left style="thick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ck">
        <color theme="1"/>
      </right>
      <top style="hair">
        <color theme="1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ck">
        <color rgb="FF000000"/>
      </right>
      <top style="hair">
        <color rgb="FF000000"/>
      </top>
      <bottom/>
      <diagonal/>
    </border>
    <border>
      <left style="thick">
        <color indexed="64"/>
      </left>
      <right style="hair">
        <color rgb="FF000000"/>
      </right>
      <top style="hair">
        <color rgb="FF000000"/>
      </top>
      <bottom/>
      <diagonal/>
    </border>
    <border>
      <left style="hair">
        <color rgb="FFFFFFFF"/>
      </left>
      <right style="hair">
        <color rgb="FFFFFFFF"/>
      </right>
      <top style="thick">
        <color rgb="FF000000"/>
      </top>
      <bottom style="medium">
        <color rgb="FF000000"/>
      </bottom>
      <diagonal/>
    </border>
    <border>
      <left style="hair">
        <color rgb="FFFFFFFF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hair">
        <color rgb="FFFFFFFF"/>
      </right>
      <top style="thick">
        <color rgb="FF000000"/>
      </top>
      <bottom style="medium">
        <color rgb="FF000000"/>
      </bottom>
      <diagonal/>
    </border>
    <border>
      <left style="hair">
        <color rgb="FF000000"/>
      </left>
      <right style="thick">
        <color theme="1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theme="0" tint="-0.249977111117893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theme="0" tint="-0.249977111117893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n">
        <color theme="0" tint="-0.249977111117893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indexed="64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indexed="64"/>
      </right>
      <top style="hair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hair">
        <color rgb="FFFFFFFF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 style="hair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thick">
        <color rgb="FF000000"/>
      </bottom>
      <diagonal/>
    </border>
    <border>
      <left style="hair">
        <color rgb="FF000000"/>
      </left>
      <right/>
      <top style="hair">
        <color rgb="FF000000"/>
      </top>
      <bottom style="thick">
        <color rgb="FF000000"/>
      </bottom>
      <diagonal/>
    </border>
    <border>
      <left/>
      <right style="thick">
        <color theme="1"/>
      </right>
      <top style="hair">
        <color rgb="FF000000"/>
      </top>
      <bottom style="thick">
        <color rgb="FF000000"/>
      </bottom>
      <diagonal/>
    </border>
    <border>
      <left style="thick">
        <color theme="1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ck">
        <color rgb="FF000000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thick">
        <color rgb="FF000000"/>
      </bottom>
      <diagonal/>
    </border>
    <border>
      <left style="hair">
        <color theme="1"/>
      </left>
      <right style="thick">
        <color indexed="64"/>
      </right>
      <top style="hair">
        <color theme="1"/>
      </top>
      <bottom style="thick">
        <color rgb="FF000000"/>
      </bottom>
      <diagonal/>
    </border>
    <border>
      <left style="hair">
        <color rgb="FF000000"/>
      </left>
      <right style="thick">
        <color theme="1"/>
      </right>
      <top style="hair">
        <color rgb="FF000000"/>
      </top>
      <bottom/>
      <diagonal/>
    </border>
    <border>
      <left style="hair">
        <color rgb="FF000000"/>
      </left>
      <right style="thick">
        <color theme="1"/>
      </right>
      <top style="hair">
        <color rgb="FF000000"/>
      </top>
      <bottom style="thick">
        <color rgb="FF000000"/>
      </bottom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indexed="64"/>
      </bottom>
      <diagonal/>
    </border>
    <border>
      <left style="hair">
        <color rgb="FF000000"/>
      </left>
      <right style="thick">
        <color theme="1"/>
      </right>
      <top/>
      <bottom/>
      <diagonal/>
    </border>
    <border>
      <left/>
      <right style="thick">
        <color theme="1"/>
      </right>
      <top/>
      <bottom/>
      <diagonal/>
    </border>
    <border>
      <left style="thick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ck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thick">
        <color indexed="64"/>
      </left>
      <right/>
      <top style="thin">
        <color rgb="FFFFFFFF"/>
      </top>
      <bottom style="hair">
        <color indexed="64"/>
      </bottom>
      <diagonal/>
    </border>
    <border>
      <left style="thick">
        <color indexed="64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indexed="64"/>
      </bottom>
      <diagonal/>
    </border>
  </borders>
  <cellStyleXfs count="1">
    <xf numFmtId="0" fontId="0" fillId="0" borderId="61"/>
  </cellStyleXfs>
  <cellXfs count="268">
    <xf numFmtId="0" fontId="0" fillId="0" borderId="0" xfId="0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wrapText="1"/>
    </xf>
    <xf numFmtId="0" fontId="7" fillId="0" borderId="0" xfId="0" applyFont="1" applyBorder="1" applyAlignment="1">
      <alignment vertical="center"/>
    </xf>
    <xf numFmtId="0" fontId="10" fillId="4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wrapText="1"/>
    </xf>
    <xf numFmtId="0" fontId="6" fillId="3" borderId="11" xfId="0" applyFont="1" applyFill="1" applyBorder="1" applyAlignment="1">
      <alignment wrapText="1"/>
    </xf>
    <xf numFmtId="0" fontId="11" fillId="4" borderId="13" xfId="0" applyFont="1" applyFill="1" applyBorder="1" applyAlignment="1">
      <alignment horizontal="left" vertical="center" wrapText="1"/>
    </xf>
    <xf numFmtId="9" fontId="11" fillId="4" borderId="14" xfId="0" applyNumberFormat="1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vertical="center" wrapText="1"/>
    </xf>
    <xf numFmtId="0" fontId="14" fillId="4" borderId="13" xfId="0" applyFont="1" applyFill="1" applyBorder="1" applyAlignment="1">
      <alignment vertical="center" wrapText="1"/>
    </xf>
    <xf numFmtId="9" fontId="14" fillId="4" borderId="14" xfId="0" applyNumberFormat="1" applyFont="1" applyFill="1" applyBorder="1" applyAlignment="1">
      <alignment horizontal="right" vertical="center" wrapText="1"/>
    </xf>
    <xf numFmtId="0" fontId="2" fillId="0" borderId="0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  <xf numFmtId="0" fontId="16" fillId="4" borderId="16" xfId="0" applyFont="1" applyFill="1" applyBorder="1" applyAlignment="1">
      <alignment horizontal="left" vertical="center" wrapText="1"/>
    </xf>
    <xf numFmtId="176" fontId="4" fillId="0" borderId="20" xfId="0" applyNumberFormat="1" applyFont="1" applyBorder="1" applyAlignment="1">
      <alignment horizontal="center" vertical="center" wrapText="1"/>
    </xf>
    <xf numFmtId="176" fontId="10" fillId="0" borderId="21" xfId="0" applyNumberFormat="1" applyFont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 wrapText="1"/>
    </xf>
    <xf numFmtId="0" fontId="14" fillId="4" borderId="26" xfId="0" applyFont="1" applyFill="1" applyBorder="1" applyAlignment="1">
      <alignment vertical="center" wrapText="1"/>
    </xf>
    <xf numFmtId="9" fontId="14" fillId="4" borderId="27" xfId="0" applyNumberFormat="1" applyFont="1" applyFill="1" applyBorder="1" applyAlignment="1">
      <alignment horizontal="right" vertical="center" wrapText="1"/>
    </xf>
    <xf numFmtId="0" fontId="16" fillId="4" borderId="28" xfId="0" applyFont="1" applyFill="1" applyBorder="1" applyAlignment="1">
      <alignment horizontal="left" vertical="center" wrapText="1"/>
    </xf>
    <xf numFmtId="10" fontId="20" fillId="0" borderId="20" xfId="0" applyNumberFormat="1" applyFont="1" applyBorder="1" applyAlignment="1">
      <alignment horizontal="center" vertical="center" wrapText="1"/>
    </xf>
    <xf numFmtId="0" fontId="6" fillId="5" borderId="21" xfId="0" applyFont="1" applyFill="1" applyBorder="1" applyAlignment="1">
      <alignment wrapText="1"/>
    </xf>
    <xf numFmtId="49" fontId="21" fillId="6" borderId="21" xfId="0" applyNumberFormat="1" applyFont="1" applyFill="1" applyBorder="1" applyAlignment="1">
      <alignment vertical="center"/>
    </xf>
    <xf numFmtId="0" fontId="6" fillId="8" borderId="31" xfId="0" applyFont="1" applyFill="1" applyBorder="1" applyAlignment="1">
      <alignment wrapText="1"/>
    </xf>
    <xf numFmtId="0" fontId="21" fillId="2" borderId="3" xfId="0" applyFont="1" applyFill="1" applyBorder="1" applyAlignment="1">
      <alignment vertical="center" wrapText="1"/>
    </xf>
    <xf numFmtId="0" fontId="21" fillId="0" borderId="32" xfId="0" applyFont="1" applyBorder="1" applyAlignment="1">
      <alignment vertical="center" wrapText="1"/>
    </xf>
    <xf numFmtId="0" fontId="21" fillId="3" borderId="33" xfId="0" applyFont="1" applyFill="1" applyBorder="1" applyAlignment="1">
      <alignment vertical="center" wrapText="1"/>
    </xf>
    <xf numFmtId="0" fontId="21" fillId="3" borderId="34" xfId="0" applyFont="1" applyFill="1" applyBorder="1" applyAlignment="1">
      <alignment horizontal="center" vertical="center" wrapText="1"/>
    </xf>
    <xf numFmtId="0" fontId="21" fillId="3" borderId="35" xfId="0" applyFont="1" applyFill="1" applyBorder="1" applyAlignment="1">
      <alignment horizontal="center" vertical="center" wrapText="1"/>
    </xf>
    <xf numFmtId="0" fontId="21" fillId="3" borderId="36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vertical="center" wrapText="1"/>
    </xf>
    <xf numFmtId="0" fontId="16" fillId="2" borderId="42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16" fillId="5" borderId="50" xfId="0" applyFont="1" applyFill="1" applyBorder="1" applyAlignment="1">
      <alignment horizontal="center" vertical="center" wrapText="1"/>
    </xf>
    <xf numFmtId="0" fontId="16" fillId="6" borderId="49" xfId="0" applyFont="1" applyFill="1" applyBorder="1" applyAlignment="1">
      <alignment horizontal="center" vertical="center" wrapText="1"/>
    </xf>
    <xf numFmtId="0" fontId="16" fillId="6" borderId="50" xfId="0" applyFont="1" applyFill="1" applyBorder="1" applyAlignment="1">
      <alignment horizontal="center" vertical="center" wrapText="1"/>
    </xf>
    <xf numFmtId="0" fontId="16" fillId="6" borderId="51" xfId="0" applyFont="1" applyFill="1" applyBorder="1" applyAlignment="1">
      <alignment horizontal="center" vertical="center" wrapText="1"/>
    </xf>
    <xf numFmtId="0" fontId="16" fillId="7" borderId="49" xfId="0" applyFont="1" applyFill="1" applyBorder="1" applyAlignment="1">
      <alignment horizontal="center" vertical="center" wrapText="1"/>
    </xf>
    <xf numFmtId="0" fontId="16" fillId="7" borderId="50" xfId="0" applyFont="1" applyFill="1" applyBorder="1" applyAlignment="1">
      <alignment horizontal="center" vertical="center" wrapText="1"/>
    </xf>
    <xf numFmtId="0" fontId="16" fillId="7" borderId="5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horizontal="center" vertical="center" wrapText="1"/>
    </xf>
    <xf numFmtId="9" fontId="6" fillId="2" borderId="13" xfId="0" applyNumberFormat="1" applyFont="1" applyFill="1" applyBorder="1" applyAlignment="1">
      <alignment horizontal="center" vertical="center" wrapText="1"/>
    </xf>
    <xf numFmtId="177" fontId="6" fillId="0" borderId="13" xfId="0" applyNumberFormat="1" applyFont="1" applyBorder="1" applyAlignment="1">
      <alignment horizontal="center" vertical="center" wrapText="1"/>
    </xf>
    <xf numFmtId="177" fontId="6" fillId="0" borderId="14" xfId="0" applyNumberFormat="1" applyFont="1" applyBorder="1" applyAlignment="1">
      <alignment horizontal="center" vertical="center" wrapText="1"/>
    </xf>
    <xf numFmtId="49" fontId="6" fillId="2" borderId="23" xfId="0" applyNumberFormat="1" applyFont="1" applyFill="1" applyBorder="1" applyAlignment="1">
      <alignment vertical="center"/>
    </xf>
    <xf numFmtId="0" fontId="6" fillId="0" borderId="19" xfId="0" applyFont="1" applyBorder="1" applyAlignment="1">
      <alignment horizontal="center" vertical="center" wrapText="1"/>
    </xf>
    <xf numFmtId="177" fontId="6" fillId="0" borderId="56" xfId="0" applyNumberFormat="1" applyFont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vertical="center" wrapText="1"/>
    </xf>
    <xf numFmtId="177" fontId="6" fillId="0" borderId="26" xfId="0" applyNumberFormat="1" applyFont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9" fontId="6" fillId="2" borderId="26" xfId="0" applyNumberFormat="1" applyFont="1" applyFill="1" applyBorder="1" applyAlignment="1">
      <alignment horizontal="center" vertical="center" wrapText="1"/>
    </xf>
    <xf numFmtId="49" fontId="6" fillId="2" borderId="62" xfId="0" applyNumberFormat="1" applyFont="1" applyFill="1" applyBorder="1" applyAlignment="1">
      <alignment vertical="center"/>
    </xf>
    <xf numFmtId="178" fontId="11" fillId="0" borderId="0" xfId="0" applyNumberFormat="1" applyFont="1" applyBorder="1" applyAlignment="1">
      <alignment horizontal="center" vertical="center" wrapText="1"/>
    </xf>
    <xf numFmtId="49" fontId="6" fillId="2" borderId="23" xfId="0" applyNumberFormat="1" applyFont="1" applyFill="1" applyBorder="1" applyAlignment="1">
      <alignment horizontal="center" vertical="center"/>
    </xf>
    <xf numFmtId="0" fontId="16" fillId="5" borderId="63" xfId="0" applyFont="1" applyFill="1" applyBorder="1" applyAlignment="1">
      <alignment horizontal="center" vertical="center" wrapText="1"/>
    </xf>
    <xf numFmtId="0" fontId="16" fillId="5" borderId="69" xfId="0" applyFont="1" applyFill="1" applyBorder="1" applyAlignment="1">
      <alignment horizontal="center" vertical="center" wrapText="1"/>
    </xf>
    <xf numFmtId="0" fontId="16" fillId="5" borderId="70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center" vertical="center" wrapText="1"/>
    </xf>
    <xf numFmtId="178" fontId="11" fillId="0" borderId="26" xfId="0" applyNumberFormat="1" applyFont="1" applyBorder="1" applyAlignment="1">
      <alignment horizontal="center" vertical="center" wrapText="1"/>
    </xf>
    <xf numFmtId="178" fontId="11" fillId="0" borderId="27" xfId="0" applyNumberFormat="1" applyFont="1" applyBorder="1" applyAlignment="1">
      <alignment horizontal="center" vertical="center" wrapText="1"/>
    </xf>
    <xf numFmtId="178" fontId="11" fillId="0" borderId="30" xfId="0" applyNumberFormat="1" applyFont="1" applyBorder="1" applyAlignment="1">
      <alignment horizontal="center" vertical="center" wrapText="1"/>
    </xf>
    <xf numFmtId="14" fontId="21" fillId="0" borderId="72" xfId="0" applyNumberFormat="1" applyFont="1" applyBorder="1" applyAlignment="1">
      <alignment horizontal="center" vertical="center"/>
    </xf>
    <xf numFmtId="0" fontId="6" fillId="2" borderId="77" xfId="0" applyFont="1" applyFill="1" applyBorder="1" applyAlignment="1">
      <alignment horizontal="center" vertical="center" wrapText="1"/>
    </xf>
    <xf numFmtId="178" fontId="11" fillId="0" borderId="79" xfId="0" applyNumberFormat="1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14" fontId="21" fillId="0" borderId="73" xfId="0" applyNumberFormat="1" applyFont="1" applyBorder="1" applyAlignment="1">
      <alignment horizontal="center" vertical="center"/>
    </xf>
    <xf numFmtId="14" fontId="21" fillId="0" borderId="84" xfId="0" applyNumberFormat="1" applyFont="1" applyBorder="1" applyAlignment="1">
      <alignment horizontal="center" vertical="center"/>
    </xf>
    <xf numFmtId="14" fontId="21" fillId="0" borderId="85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1" fillId="3" borderId="33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6" fillId="2" borderId="61" xfId="0" applyFont="1" applyFill="1" applyAlignment="1">
      <alignment vertical="center" wrapText="1"/>
    </xf>
    <xf numFmtId="49" fontId="6" fillId="2" borderId="24" xfId="0" applyNumberFormat="1" applyFont="1" applyFill="1" applyBorder="1" applyAlignment="1">
      <alignment vertical="center"/>
    </xf>
    <xf numFmtId="0" fontId="26" fillId="0" borderId="86" xfId="0" applyFont="1" applyBorder="1" applyAlignment="1">
      <alignment horizontal="center" vertical="center"/>
    </xf>
    <xf numFmtId="0" fontId="8" fillId="0" borderId="87" xfId="0" applyFont="1" applyBorder="1" applyAlignment="1">
      <alignment horizontal="center" vertical="center"/>
    </xf>
    <xf numFmtId="0" fontId="8" fillId="0" borderId="87" xfId="0" applyFont="1" applyBorder="1" applyAlignment="1">
      <alignment vertical="center"/>
    </xf>
    <xf numFmtId="0" fontId="26" fillId="0" borderId="1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26" fillId="0" borderId="87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177" fontId="6" fillId="0" borderId="92" xfId="0" applyNumberFormat="1" applyFont="1" applyBorder="1" applyAlignment="1">
      <alignment horizontal="center" vertical="center" wrapText="1"/>
    </xf>
    <xf numFmtId="178" fontId="11" fillId="0" borderId="94" xfId="0" applyNumberFormat="1" applyFont="1" applyBorder="1" applyAlignment="1">
      <alignment horizontal="center" vertical="center" wrapText="1"/>
    </xf>
    <xf numFmtId="178" fontId="11" fillId="0" borderId="56" xfId="0" applyNumberFormat="1" applyFont="1" applyBorder="1" applyAlignment="1">
      <alignment horizontal="center" vertical="center" wrapText="1"/>
    </xf>
    <xf numFmtId="178" fontId="11" fillId="0" borderId="93" xfId="0" applyNumberFormat="1" applyFont="1" applyBorder="1" applyAlignment="1">
      <alignment horizontal="center" vertical="center" wrapText="1"/>
    </xf>
    <xf numFmtId="178" fontId="11" fillId="0" borderId="88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0" fillId="0" borderId="0" xfId="0" applyBorder="1"/>
    <xf numFmtId="0" fontId="10" fillId="0" borderId="22" xfId="0" applyFont="1" applyBorder="1" applyAlignment="1">
      <alignment horizontal="center" vertical="center" wrapText="1"/>
    </xf>
    <xf numFmtId="0" fontId="6" fillId="9" borderId="22" xfId="0" applyFont="1" applyFill="1" applyBorder="1" applyAlignment="1">
      <alignment wrapText="1"/>
    </xf>
    <xf numFmtId="178" fontId="11" fillId="11" borderId="13" xfId="0" applyNumberFormat="1" applyFont="1" applyFill="1" applyBorder="1" applyAlignment="1">
      <alignment horizontal="center" vertical="center" wrapText="1"/>
    </xf>
    <xf numFmtId="178" fontId="11" fillId="11" borderId="14" xfId="0" applyNumberFormat="1" applyFont="1" applyFill="1" applyBorder="1" applyAlignment="1">
      <alignment horizontal="center" vertical="center" wrapText="1"/>
    </xf>
    <xf numFmtId="178" fontId="11" fillId="11" borderId="17" xfId="0" applyNumberFormat="1" applyFont="1" applyFill="1" applyBorder="1" applyAlignment="1">
      <alignment horizontal="center" vertical="center" wrapText="1"/>
    </xf>
    <xf numFmtId="178" fontId="11" fillId="12" borderId="13" xfId="0" applyNumberFormat="1" applyFont="1" applyFill="1" applyBorder="1" applyAlignment="1">
      <alignment horizontal="center" vertical="center" wrapText="1"/>
    </xf>
    <xf numFmtId="178" fontId="11" fillId="12" borderId="14" xfId="0" applyNumberFormat="1" applyFont="1" applyFill="1" applyBorder="1" applyAlignment="1">
      <alignment horizontal="center" vertical="center" wrapText="1"/>
    </xf>
    <xf numFmtId="178" fontId="11" fillId="12" borderId="17" xfId="0" applyNumberFormat="1" applyFont="1" applyFill="1" applyBorder="1" applyAlignment="1">
      <alignment horizontal="center" vertical="center" wrapText="1"/>
    </xf>
    <xf numFmtId="178" fontId="11" fillId="13" borderId="56" xfId="0" applyNumberFormat="1" applyFont="1" applyFill="1" applyBorder="1" applyAlignment="1">
      <alignment horizontal="center" vertical="center" wrapText="1"/>
    </xf>
    <xf numFmtId="0" fontId="10" fillId="0" borderId="112" xfId="0" applyFont="1" applyBorder="1" applyAlignment="1">
      <alignment horizontal="center" vertical="center" wrapText="1"/>
    </xf>
    <xf numFmtId="0" fontId="27" fillId="14" borderId="11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0" borderId="61" xfId="0"/>
    <xf numFmtId="0" fontId="2" fillId="0" borderId="61" xfId="0" applyFont="1" applyAlignment="1">
      <alignment vertical="center" wrapText="1"/>
    </xf>
    <xf numFmtId="0" fontId="17" fillId="0" borderId="61" xfId="0" applyFont="1" applyAlignment="1">
      <alignment vertical="center"/>
    </xf>
    <xf numFmtId="0" fontId="26" fillId="0" borderId="11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7" fillId="0" borderId="61" xfId="0" applyFont="1" applyAlignment="1">
      <alignment vertical="center"/>
    </xf>
    <xf numFmtId="0" fontId="21" fillId="2" borderId="56" xfId="0" applyFont="1" applyFill="1" applyBorder="1" applyAlignment="1">
      <alignment horizontal="left" vertical="top" wrapText="1"/>
    </xf>
    <xf numFmtId="0" fontId="21" fillId="2" borderId="13" xfId="0" applyFont="1" applyFill="1" applyBorder="1" applyAlignment="1">
      <alignment horizontal="left" vertical="top" wrapText="1"/>
    </xf>
    <xf numFmtId="0" fontId="26" fillId="0" borderId="13" xfId="0" applyFont="1" applyBorder="1" applyAlignment="1">
      <alignment horizontal="center" vertical="center" wrapText="1"/>
    </xf>
    <xf numFmtId="177" fontId="21" fillId="0" borderId="72" xfId="0" applyNumberFormat="1" applyFont="1" applyBorder="1" applyAlignment="1">
      <alignment horizontal="center" vertical="center" wrapText="1"/>
    </xf>
    <xf numFmtId="177" fontId="21" fillId="0" borderId="85" xfId="0" applyNumberFormat="1" applyFont="1" applyBorder="1" applyAlignment="1">
      <alignment horizontal="center" vertical="center" wrapText="1"/>
    </xf>
    <xf numFmtId="0" fontId="21" fillId="2" borderId="55" xfId="0" applyFont="1" applyFill="1" applyBorder="1" applyAlignment="1">
      <alignment horizontal="left" vertical="top" wrapText="1"/>
    </xf>
    <xf numFmtId="0" fontId="21" fillId="2" borderId="17" xfId="0" applyFont="1" applyFill="1" applyBorder="1" applyAlignment="1">
      <alignment horizontal="left" vertical="top" wrapText="1"/>
    </xf>
    <xf numFmtId="0" fontId="21" fillId="2" borderId="80" xfId="0" applyFont="1" applyFill="1" applyBorder="1" applyAlignment="1">
      <alignment horizontal="left" vertical="top" wrapText="1"/>
    </xf>
    <xf numFmtId="0" fontId="21" fillId="2" borderId="82" xfId="0" applyFont="1" applyFill="1" applyBorder="1" applyAlignment="1">
      <alignment horizontal="left" vertical="top" wrapText="1"/>
    </xf>
    <xf numFmtId="0" fontId="21" fillId="2" borderId="81" xfId="0" applyFont="1" applyFill="1" applyBorder="1" applyAlignment="1">
      <alignment horizontal="left" vertical="top" wrapText="1"/>
    </xf>
    <xf numFmtId="20" fontId="21" fillId="2" borderId="13" xfId="0" applyNumberFormat="1" applyFont="1" applyFill="1" applyBorder="1" applyAlignment="1">
      <alignment horizontal="left" vertical="top" wrapText="1"/>
    </xf>
    <xf numFmtId="0" fontId="21" fillId="2" borderId="59" xfId="0" applyFont="1" applyFill="1" applyBorder="1" applyAlignment="1">
      <alignment horizontal="left" vertical="top" wrapText="1"/>
    </xf>
    <xf numFmtId="0" fontId="21" fillId="2" borderId="60" xfId="0" applyFont="1" applyFill="1" applyBorder="1" applyAlignment="1">
      <alignment horizontal="left" vertical="top" wrapText="1"/>
    </xf>
    <xf numFmtId="177" fontId="21" fillId="0" borderId="90" xfId="0" applyNumberFormat="1" applyFont="1" applyBorder="1" applyAlignment="1">
      <alignment horizontal="center" vertical="center" wrapText="1"/>
    </xf>
    <xf numFmtId="177" fontId="21" fillId="0" borderId="91" xfId="0" applyNumberFormat="1" applyFont="1" applyBorder="1" applyAlignment="1">
      <alignment horizontal="center" vertical="center" wrapText="1"/>
    </xf>
    <xf numFmtId="49" fontId="6" fillId="2" borderId="114" xfId="0" applyNumberFormat="1" applyFont="1" applyFill="1" applyBorder="1" applyAlignment="1">
      <alignment vertical="center"/>
    </xf>
    <xf numFmtId="0" fontId="6" fillId="0" borderId="30" xfId="0" applyFont="1" applyBorder="1" applyAlignment="1">
      <alignment horizontal="center" vertical="center" wrapText="1"/>
    </xf>
    <xf numFmtId="0" fontId="21" fillId="2" borderId="115" xfId="0" applyFont="1" applyFill="1" applyBorder="1" applyAlignment="1">
      <alignment horizontal="left" vertical="top" wrapText="1"/>
    </xf>
    <xf numFmtId="0" fontId="21" fillId="2" borderId="26" xfId="0" applyFont="1" applyFill="1" applyBorder="1" applyAlignment="1">
      <alignment horizontal="left" vertical="top" wrapText="1"/>
    </xf>
    <xf numFmtId="0" fontId="26" fillId="0" borderId="26" xfId="0" applyFont="1" applyBorder="1" applyAlignment="1">
      <alignment horizontal="center" vertical="center" wrapText="1"/>
    </xf>
    <xf numFmtId="0" fontId="6" fillId="2" borderId="118" xfId="0" applyFont="1" applyFill="1" applyBorder="1" applyAlignment="1">
      <alignment horizontal="center" vertical="center" wrapText="1"/>
    </xf>
    <xf numFmtId="177" fontId="21" fillId="0" borderId="119" xfId="0" applyNumberFormat="1" applyFont="1" applyBorder="1" applyAlignment="1">
      <alignment horizontal="center" vertical="center" wrapText="1"/>
    </xf>
    <xf numFmtId="177" fontId="21" fillId="0" borderId="120" xfId="0" applyNumberFormat="1" applyFont="1" applyBorder="1" applyAlignment="1">
      <alignment horizontal="center" vertical="center" wrapText="1"/>
    </xf>
    <xf numFmtId="177" fontId="6" fillId="0" borderId="116" xfId="0" applyNumberFormat="1" applyFont="1" applyBorder="1" applyAlignment="1">
      <alignment horizontal="center" vertical="center" wrapText="1"/>
    </xf>
    <xf numFmtId="177" fontId="21" fillId="0" borderId="121" xfId="0" applyNumberFormat="1" applyFont="1" applyBorder="1" applyAlignment="1">
      <alignment horizontal="center" vertical="center" wrapText="1"/>
    </xf>
    <xf numFmtId="0" fontId="23" fillId="10" borderId="95" xfId="0" applyFont="1" applyFill="1" applyBorder="1" applyAlignment="1">
      <alignment horizontal="center" vertical="center" wrapText="1"/>
    </xf>
    <xf numFmtId="0" fontId="0" fillId="0" borderId="46" xfId="0" applyBorder="1"/>
    <xf numFmtId="0" fontId="6" fillId="3" borderId="122" xfId="0" applyFont="1" applyFill="1" applyBorder="1" applyAlignment="1">
      <alignment horizontal="left" vertical="top" wrapText="1"/>
    </xf>
    <xf numFmtId="0" fontId="0" fillId="0" borderId="89" xfId="0" applyBorder="1"/>
    <xf numFmtId="0" fontId="0" fillId="0" borderId="113" xfId="0" applyBorder="1"/>
    <xf numFmtId="176" fontId="13" fillId="0" borderId="100" xfId="0" applyNumberFormat="1" applyFont="1" applyBorder="1" applyAlignment="1">
      <alignment horizontal="center" vertical="center" wrapText="1"/>
    </xf>
    <xf numFmtId="0" fontId="0" fillId="0" borderId="58" xfId="0" applyBorder="1"/>
    <xf numFmtId="0" fontId="0" fillId="0" borderId="65" xfId="0" applyBorder="1"/>
    <xf numFmtId="0" fontId="13" fillId="0" borderId="100" xfId="0" applyFont="1" applyBorder="1" applyAlignment="1">
      <alignment horizontal="center" vertical="center" wrapText="1"/>
    </xf>
    <xf numFmtId="176" fontId="13" fillId="0" borderId="105" xfId="0" applyNumberFormat="1" applyFont="1" applyBorder="1" applyAlignment="1">
      <alignment horizontal="center" vertical="center" wrapText="1"/>
    </xf>
    <xf numFmtId="0" fontId="0" fillId="0" borderId="75" xfId="0" applyBorder="1"/>
    <xf numFmtId="9" fontId="19" fillId="0" borderId="106" xfId="0" applyNumberFormat="1" applyFont="1" applyBorder="1" applyAlignment="1">
      <alignment horizontal="center" vertical="center" wrapText="1"/>
    </xf>
    <xf numFmtId="0" fontId="0" fillId="0" borderId="29" xfId="0" applyBorder="1"/>
    <xf numFmtId="0" fontId="0" fillId="0" borderId="76" xfId="0" applyBorder="1"/>
    <xf numFmtId="0" fontId="16" fillId="2" borderId="107" xfId="0" applyFont="1" applyFill="1" applyBorder="1" applyAlignment="1">
      <alignment horizontal="center" vertical="center" wrapText="1"/>
    </xf>
    <xf numFmtId="0" fontId="0" fillId="0" borderId="44" xfId="0" applyBorder="1"/>
    <xf numFmtId="0" fontId="0" fillId="0" borderId="43" xfId="0" applyBorder="1"/>
    <xf numFmtId="0" fontId="16" fillId="7" borderId="108" xfId="0" applyFont="1" applyFill="1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0" fontId="10" fillId="4" borderId="103" xfId="0" applyFont="1" applyFill="1" applyBorder="1" applyAlignment="1">
      <alignment horizontal="center" vertical="center" wrapText="1"/>
    </xf>
    <xf numFmtId="0" fontId="0" fillId="0" borderId="7" xfId="0" applyBorder="1"/>
    <xf numFmtId="0" fontId="2" fillId="6" borderId="99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8" xfId="0" applyBorder="1"/>
    <xf numFmtId="0" fontId="8" fillId="0" borderId="98" xfId="0" applyFont="1" applyBorder="1" applyAlignment="1">
      <alignment horizontal="center" vertical="center"/>
    </xf>
    <xf numFmtId="0" fontId="0" fillId="0" borderId="83" xfId="0" applyBorder="1"/>
    <xf numFmtId="9" fontId="12" fillId="0" borderId="28" xfId="0" applyNumberFormat="1" applyFont="1" applyBorder="1" applyAlignment="1">
      <alignment horizontal="center" vertical="center" wrapText="1"/>
    </xf>
    <xf numFmtId="0" fontId="0" fillId="0" borderId="19" xfId="0" applyBorder="1"/>
    <xf numFmtId="0" fontId="0" fillId="0" borderId="25" xfId="0" applyBorder="1"/>
    <xf numFmtId="0" fontId="9" fillId="0" borderId="5" xfId="0" quotePrefix="1" applyFont="1" applyBorder="1" applyAlignment="1">
      <alignment horizontal="left" vertical="center" wrapText="1"/>
    </xf>
    <xf numFmtId="0" fontId="0" fillId="0" borderId="61" xfId="0"/>
    <xf numFmtId="0" fontId="0" fillId="0" borderId="0" xfId="0" applyBorder="1" applyAlignment="1">
      <alignment horizontal="center" vertical="center"/>
    </xf>
    <xf numFmtId="0" fontId="0" fillId="0" borderId="5" xfId="0" applyBorder="1"/>
    <xf numFmtId="0" fontId="16" fillId="2" borderId="43" xfId="0" applyFont="1" applyFill="1" applyBorder="1" applyAlignment="1">
      <alignment horizontal="center" vertical="center" wrapText="1"/>
    </xf>
    <xf numFmtId="0" fontId="23" fillId="10" borderId="96" xfId="0" applyFont="1" applyFill="1" applyBorder="1" applyAlignment="1">
      <alignment horizontal="center" vertical="center" wrapText="1"/>
    </xf>
    <xf numFmtId="0" fontId="0" fillId="0" borderId="47" xfId="0" applyBorder="1"/>
    <xf numFmtId="0" fontId="0" fillId="0" borderId="48" xfId="0" applyBorder="1"/>
    <xf numFmtId="0" fontId="2" fillId="5" borderId="109" xfId="0" applyFont="1" applyFill="1" applyBorder="1" applyAlignment="1">
      <alignment horizontal="center" vertical="center" wrapText="1"/>
    </xf>
    <xf numFmtId="0" fontId="0" fillId="0" borderId="67" xfId="0" applyBorder="1"/>
    <xf numFmtId="0" fontId="0" fillId="0" borderId="68" xfId="0" applyBorder="1"/>
    <xf numFmtId="0" fontId="23" fillId="10" borderId="97" xfId="0" applyFont="1" applyFill="1" applyBorder="1" applyAlignment="1">
      <alignment horizontal="center" vertical="center" wrapText="1"/>
    </xf>
    <xf numFmtId="0" fontId="0" fillId="0" borderId="45" xfId="0" applyBorder="1"/>
    <xf numFmtId="0" fontId="8" fillId="0" borderId="87" xfId="0" applyFont="1" applyBorder="1" applyAlignment="1">
      <alignment horizontal="center" vertical="center"/>
    </xf>
    <xf numFmtId="0" fontId="0" fillId="0" borderId="110" xfId="0" applyBorder="1"/>
    <xf numFmtId="0" fontId="0" fillId="0" borderId="111" xfId="0" applyBorder="1"/>
    <xf numFmtId="179" fontId="1" fillId="2" borderId="3" xfId="0" applyNumberFormat="1" applyFont="1" applyFill="1" applyBorder="1" applyAlignment="1">
      <alignment horizontal="right" vertical="center" wrapText="1"/>
    </xf>
    <xf numFmtId="0" fontId="0" fillId="0" borderId="33" xfId="0" applyBorder="1"/>
    <xf numFmtId="0" fontId="0" fillId="0" borderId="12" xfId="0" applyBorder="1"/>
    <xf numFmtId="0" fontId="6" fillId="3" borderId="123" xfId="0" applyFont="1" applyFill="1" applyBorder="1" applyAlignment="1">
      <alignment horizontal="left" vertical="top" wrapText="1"/>
    </xf>
    <xf numFmtId="0" fontId="0" fillId="0" borderId="117" xfId="0" applyBorder="1"/>
    <xf numFmtId="9" fontId="19" fillId="0" borderId="101" xfId="0" applyNumberFormat="1" applyFont="1" applyBorder="1" applyAlignment="1">
      <alignment horizontal="center" vertical="center" wrapText="1"/>
    </xf>
    <xf numFmtId="0" fontId="0" fillId="0" borderId="66" xfId="0" applyBorder="1"/>
    <xf numFmtId="0" fontId="16" fillId="6" borderId="108" xfId="0" applyFont="1" applyFill="1" applyBorder="1" applyAlignment="1">
      <alignment horizontal="center" vertical="center" wrapText="1"/>
    </xf>
    <xf numFmtId="0" fontId="2" fillId="7" borderId="104" xfId="0" applyFont="1" applyFill="1" applyBorder="1" applyAlignment="1">
      <alignment horizontal="center" vertical="center" wrapText="1"/>
    </xf>
    <xf numFmtId="0" fontId="0" fillId="0" borderId="74" xfId="0" applyBorder="1"/>
    <xf numFmtId="0" fontId="2" fillId="5" borderId="102" xfId="0" applyFont="1" applyFill="1" applyBorder="1" applyAlignment="1">
      <alignment horizontal="center" vertical="center" wrapText="1"/>
    </xf>
    <xf numFmtId="0" fontId="0" fillId="0" borderId="64" xfId="0" applyBorder="1"/>
    <xf numFmtId="0" fontId="13" fillId="0" borderId="105" xfId="0" applyFont="1" applyBorder="1" applyAlignment="1">
      <alignment horizontal="center" vertical="center" wrapText="1"/>
    </xf>
    <xf numFmtId="0" fontId="6" fillId="0" borderId="124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21" fillId="2" borderId="125" xfId="0" applyFont="1" applyFill="1" applyBorder="1" applyAlignment="1">
      <alignment horizontal="left" vertical="top" wrapText="1"/>
    </xf>
    <xf numFmtId="0" fontId="26" fillId="0" borderId="59" xfId="0" applyFont="1" applyBorder="1" applyAlignment="1">
      <alignment horizontal="center" vertical="center" wrapText="1"/>
    </xf>
    <xf numFmtId="0" fontId="6" fillId="3" borderId="126" xfId="0" applyFont="1" applyFill="1" applyBorder="1" applyAlignment="1">
      <alignment horizontal="left" vertical="top" wrapText="1"/>
    </xf>
    <xf numFmtId="0" fontId="0" fillId="0" borderId="61" xfId="0" applyBorder="1"/>
    <xf numFmtId="0" fontId="0" fillId="0" borderId="127" xfId="0" applyBorder="1"/>
    <xf numFmtId="0" fontId="6" fillId="3" borderId="98" xfId="0" applyFont="1" applyFill="1" applyBorder="1" applyAlignment="1">
      <alignment horizontal="left" vertical="top" wrapText="1"/>
    </xf>
    <xf numFmtId="49" fontId="6" fillId="2" borderId="61" xfId="0" applyNumberFormat="1" applyFont="1" applyFill="1" applyBorder="1" applyAlignment="1">
      <alignment vertical="center"/>
    </xf>
    <xf numFmtId="178" fontId="11" fillId="0" borderId="128" xfId="0" applyNumberFormat="1" applyFont="1" applyBorder="1" applyAlignment="1">
      <alignment horizontal="center" vertical="center" wrapText="1"/>
    </xf>
    <xf numFmtId="178" fontId="11" fillId="0" borderId="129" xfId="0" applyNumberFormat="1" applyFont="1" applyBorder="1" applyAlignment="1">
      <alignment horizontal="center" vertical="center" wrapText="1"/>
    </xf>
    <xf numFmtId="178" fontId="11" fillId="0" borderId="130" xfId="0" applyNumberFormat="1" applyFont="1" applyBorder="1" applyAlignment="1">
      <alignment horizontal="center" vertical="center" wrapText="1"/>
    </xf>
    <xf numFmtId="178" fontId="11" fillId="0" borderId="131" xfId="0" applyNumberFormat="1" applyFont="1" applyBorder="1" applyAlignment="1">
      <alignment horizontal="center" vertical="center" wrapText="1"/>
    </xf>
    <xf numFmtId="49" fontId="6" fillId="2" borderId="132" xfId="0" applyNumberFormat="1" applyFont="1" applyFill="1" applyBorder="1" applyAlignment="1">
      <alignment vertical="center"/>
    </xf>
    <xf numFmtId="178" fontId="11" fillId="0" borderId="133" xfId="0" applyNumberFormat="1" applyFont="1" applyBorder="1" applyAlignment="1">
      <alignment horizontal="center" vertical="center" wrapText="1"/>
    </xf>
    <xf numFmtId="178" fontId="11" fillId="0" borderId="82" xfId="0" applyNumberFormat="1" applyFont="1" applyBorder="1" applyAlignment="1">
      <alignment horizontal="center" vertical="center" wrapText="1"/>
    </xf>
    <xf numFmtId="178" fontId="11" fillId="0" borderId="134" xfId="0" applyNumberFormat="1" applyFont="1" applyBorder="1" applyAlignment="1">
      <alignment horizontal="center" vertical="center" wrapText="1"/>
    </xf>
    <xf numFmtId="178" fontId="11" fillId="0" borderId="135" xfId="0" applyNumberFormat="1" applyFont="1" applyBorder="1" applyAlignment="1">
      <alignment horizontal="center" vertical="center" wrapText="1"/>
    </xf>
    <xf numFmtId="0" fontId="7" fillId="0" borderId="61" xfId="0" applyFont="1" applyBorder="1" applyAlignment="1">
      <alignment vertical="center"/>
    </xf>
    <xf numFmtId="0" fontId="7" fillId="0" borderId="61" xfId="0" applyFont="1" applyBorder="1" applyAlignment="1">
      <alignment horizontal="center" vertical="center"/>
    </xf>
    <xf numFmtId="178" fontId="11" fillId="0" borderId="61" xfId="0" applyNumberFormat="1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178" fontId="11" fillId="0" borderId="56" xfId="0" applyNumberFormat="1" applyFont="1" applyFill="1" applyBorder="1" applyAlignment="1">
      <alignment horizontal="center" vertical="center" wrapText="1"/>
    </xf>
    <xf numFmtId="178" fontId="11" fillId="0" borderId="78" xfId="0" applyNumberFormat="1" applyFont="1" applyFill="1" applyBorder="1" applyAlignment="1">
      <alignment horizontal="center" vertical="center" wrapText="1"/>
    </xf>
    <xf numFmtId="178" fontId="11" fillId="0" borderId="13" xfId="0" applyNumberFormat="1" applyFont="1" applyFill="1" applyBorder="1" applyAlignment="1">
      <alignment horizontal="center" vertical="center" wrapText="1"/>
    </xf>
    <xf numFmtId="178" fontId="11" fillId="0" borderId="14" xfId="0" applyNumberFormat="1" applyFont="1" applyFill="1" applyBorder="1" applyAlignment="1">
      <alignment horizontal="center" vertical="center" wrapText="1"/>
    </xf>
    <xf numFmtId="178" fontId="11" fillId="0" borderId="17" xfId="0" applyNumberFormat="1" applyFont="1" applyFill="1" applyBorder="1" applyAlignment="1">
      <alignment horizontal="center" vertical="center" wrapText="1"/>
    </xf>
    <xf numFmtId="178" fontId="11" fillId="0" borderId="94" xfId="0" applyNumberFormat="1" applyFont="1" applyFill="1" applyBorder="1" applyAlignment="1">
      <alignment horizontal="center" vertical="center" wrapText="1"/>
    </xf>
    <xf numFmtId="178" fontId="11" fillId="0" borderId="93" xfId="0" applyNumberFormat="1" applyFont="1" applyFill="1" applyBorder="1" applyAlignment="1">
      <alignment horizontal="center" vertical="center" wrapText="1"/>
    </xf>
    <xf numFmtId="178" fontId="11" fillId="11" borderId="88" xfId="0" applyNumberFormat="1" applyFont="1" applyFill="1" applyBorder="1" applyAlignment="1">
      <alignment horizontal="center" vertical="center" wrapText="1"/>
    </xf>
    <xf numFmtId="178" fontId="11" fillId="11" borderId="56" xfId="0" applyNumberFormat="1" applyFont="1" applyFill="1" applyBorder="1" applyAlignment="1">
      <alignment horizontal="center" vertical="center" wrapText="1"/>
    </xf>
    <xf numFmtId="178" fontId="11" fillId="11" borderId="93" xfId="0" applyNumberFormat="1" applyFont="1" applyFill="1" applyBorder="1" applyAlignment="1">
      <alignment horizontal="center" vertical="center" wrapText="1"/>
    </xf>
    <xf numFmtId="178" fontId="11" fillId="11" borderId="134" xfId="0" applyNumberFormat="1" applyFont="1" applyFill="1" applyBorder="1" applyAlignment="1">
      <alignment horizontal="center" vertical="center" wrapText="1"/>
    </xf>
    <xf numFmtId="178" fontId="11" fillId="11" borderId="135" xfId="0" applyNumberFormat="1" applyFont="1" applyFill="1" applyBorder="1" applyAlignment="1">
      <alignment horizontal="center" vertical="center" wrapText="1"/>
    </xf>
    <xf numFmtId="178" fontId="11" fillId="11" borderId="130" xfId="0" applyNumberFormat="1" applyFont="1" applyFill="1" applyBorder="1" applyAlignment="1">
      <alignment horizontal="center" vertical="center" wrapText="1"/>
    </xf>
    <xf numFmtId="178" fontId="11" fillId="11" borderId="131" xfId="0" applyNumberFormat="1" applyFont="1" applyFill="1" applyBorder="1" applyAlignment="1">
      <alignment horizontal="center" vertical="center" wrapText="1"/>
    </xf>
    <xf numFmtId="178" fontId="11" fillId="12" borderId="88" xfId="0" applyNumberFormat="1" applyFont="1" applyFill="1" applyBorder="1" applyAlignment="1">
      <alignment horizontal="center" vertical="center" wrapText="1"/>
    </xf>
    <xf numFmtId="178" fontId="11" fillId="12" borderId="56" xfId="0" applyNumberFormat="1" applyFont="1" applyFill="1" applyBorder="1" applyAlignment="1">
      <alignment horizontal="center" vertical="center" wrapText="1"/>
    </xf>
    <xf numFmtId="178" fontId="11" fillId="12" borderId="82" xfId="0" applyNumberFormat="1" applyFont="1" applyFill="1" applyBorder="1" applyAlignment="1">
      <alignment horizontal="center" vertical="center" wrapText="1"/>
    </xf>
    <xf numFmtId="178" fontId="11" fillId="12" borderId="129" xfId="0" applyNumberFormat="1" applyFont="1" applyFill="1" applyBorder="1" applyAlignment="1">
      <alignment horizontal="center" vertical="center" wrapText="1"/>
    </xf>
    <xf numFmtId="178" fontId="28" fillId="13" borderId="13" xfId="0" applyNumberFormat="1" applyFont="1" applyFill="1" applyBorder="1" applyAlignment="1">
      <alignment horizontal="center" vertical="center" wrapText="1"/>
    </xf>
    <xf numFmtId="178" fontId="11" fillId="13" borderId="13" xfId="0" applyNumberFormat="1" applyFont="1" applyFill="1" applyBorder="1" applyAlignment="1">
      <alignment horizontal="center" vertical="center" wrapText="1"/>
    </xf>
    <xf numFmtId="178" fontId="11" fillId="13" borderId="82" xfId="0" applyNumberFormat="1" applyFont="1" applyFill="1" applyBorder="1" applyAlignment="1">
      <alignment horizontal="center" vertical="center" wrapText="1"/>
    </xf>
    <xf numFmtId="178" fontId="11" fillId="13" borderId="129" xfId="0" applyNumberFormat="1" applyFont="1" applyFill="1" applyBorder="1" applyAlignment="1">
      <alignment horizontal="center" vertical="center" wrapText="1"/>
    </xf>
    <xf numFmtId="178" fontId="11" fillId="13" borderId="26" xfId="0" applyNumberFormat="1" applyFont="1" applyFill="1" applyBorder="1" applyAlignment="1">
      <alignment horizontal="center" vertical="center" wrapText="1"/>
    </xf>
    <xf numFmtId="178" fontId="11" fillId="13" borderId="27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46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1062"/>
  <sheetViews>
    <sheetView showGridLines="0" tabSelected="1" zoomScale="110" zoomScaleNormal="110" workbookViewId="0">
      <pane xSplit="4" ySplit="9" topLeftCell="E10" activePane="bottomRight" state="frozen"/>
      <selection pane="topRight" activeCell="D1" sqref="D1"/>
      <selection pane="bottomLeft" activeCell="A10" sqref="A10"/>
      <selection pane="bottomRight" activeCell="B6" sqref="B6"/>
    </sheetView>
  </sheetViews>
  <sheetFormatPr baseColWidth="10" defaultColWidth="14.5" defaultRowHeight="15" customHeight="1" outlineLevelRow="1"/>
  <cols>
    <col min="1" max="1" width="1.83203125" style="118" customWidth="1"/>
    <col min="2" max="2" width="13" style="118" bestFit="1" customWidth="1"/>
    <col min="3" max="3" width="10" style="131" bestFit="1" customWidth="1"/>
    <col min="4" max="4" width="11.5" style="99" bestFit="1" customWidth="1"/>
    <col min="5" max="5" width="18.83203125" style="99" bestFit="1" customWidth="1"/>
    <col min="6" max="6" width="21.6640625" style="99" bestFit="1" customWidth="1"/>
    <col min="7" max="7" width="6.83203125" style="118" bestFit="1" customWidth="1"/>
    <col min="8" max="8" width="12.83203125" style="118" bestFit="1" customWidth="1"/>
    <col min="9" max="9" width="10.33203125" style="118" customWidth="1"/>
    <col min="10" max="10" width="10.6640625" style="118" customWidth="1"/>
    <col min="11" max="11" width="1.83203125" style="118" customWidth="1"/>
    <col min="12" max="12" width="14.83203125" style="118" customWidth="1"/>
    <col min="13" max="14" width="8.6640625" style="118" customWidth="1"/>
    <col min="15" max="15" width="9.83203125" style="118" customWidth="1"/>
    <col min="16" max="16" width="12" style="118" customWidth="1"/>
    <col min="17" max="18" width="8.6640625" style="118" customWidth="1"/>
    <col min="19" max="19" width="10.1640625" style="118" customWidth="1"/>
    <col min="20" max="20" width="11.5" style="118" customWidth="1"/>
    <col min="21" max="22" width="8.6640625" style="118" customWidth="1"/>
    <col min="23" max="23" width="10.1640625" style="118" customWidth="1"/>
    <col min="24" max="24" width="11.5" style="118" customWidth="1"/>
    <col min="25" max="25" width="2.1640625" style="118" customWidth="1"/>
    <col min="26" max="27" width="6.1640625" style="118" customWidth="1"/>
    <col min="28" max="28" width="6.6640625" style="118" bestFit="1" customWidth="1"/>
    <col min="29" max="32" width="6.1640625" style="118" customWidth="1"/>
    <col min="33" max="33" width="6.6640625" style="118" bestFit="1" customWidth="1"/>
    <col min="34" max="37" width="6.1640625" style="118" customWidth="1"/>
    <col min="38" max="38" width="6.6640625" style="118" bestFit="1" customWidth="1"/>
    <col min="39" max="40" width="6.1640625" style="118" customWidth="1"/>
  </cols>
  <sheetData>
    <row r="1" spans="1:52" ht="12" customHeight="1" thickBot="1">
      <c r="A1" s="209"/>
      <c r="B1" s="1"/>
      <c r="C1" s="130"/>
      <c r="D1" s="95"/>
      <c r="E1" s="95"/>
      <c r="F1" s="95"/>
      <c r="G1" s="2"/>
      <c r="H1" s="2"/>
      <c r="I1" s="3"/>
      <c r="J1" s="3"/>
      <c r="K1" s="4"/>
      <c r="L1" s="5"/>
      <c r="M1" s="6"/>
      <c r="N1" s="6"/>
      <c r="O1" s="6"/>
      <c r="P1" s="6"/>
      <c r="Q1" s="7"/>
      <c r="R1" s="7"/>
      <c r="S1" s="7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18.75" customHeight="1" outlineLevel="1" thickTop="1">
      <c r="A2" s="210"/>
      <c r="B2" s="193" t="s">
        <v>0</v>
      </c>
      <c r="C2" s="194"/>
      <c r="D2" s="195"/>
      <c r="E2" s="195"/>
      <c r="F2" s="195"/>
      <c r="H2" s="10" t="s">
        <v>1</v>
      </c>
      <c r="I2" s="183" t="s">
        <v>2</v>
      </c>
      <c r="J2" s="184"/>
      <c r="K2" s="11"/>
      <c r="L2" s="12" t="s">
        <v>3</v>
      </c>
      <c r="M2" s="219" t="s">
        <v>4</v>
      </c>
      <c r="N2" s="186"/>
      <c r="O2" s="186"/>
      <c r="P2" s="220"/>
      <c r="Q2" s="185" t="s">
        <v>5</v>
      </c>
      <c r="R2" s="186"/>
      <c r="S2" s="186"/>
      <c r="T2" s="187"/>
      <c r="U2" s="217" t="s">
        <v>6</v>
      </c>
      <c r="V2" s="186"/>
      <c r="W2" s="186"/>
      <c r="X2" s="218"/>
      <c r="Y2" s="13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18.75" customHeight="1" outlineLevel="1" thickBot="1">
      <c r="A3" s="211"/>
      <c r="B3" s="196"/>
      <c r="C3" s="194"/>
      <c r="D3" s="195"/>
      <c r="E3" s="195"/>
      <c r="F3" s="195"/>
      <c r="H3" s="190" t="e">
        <f>M6*J3+#REF!*J4+#REF!*J5</f>
        <v>#REF!</v>
      </c>
      <c r="I3" s="15" t="s">
        <v>4</v>
      </c>
      <c r="J3" s="16">
        <v>0.5</v>
      </c>
      <c r="K3" s="17"/>
      <c r="L3" s="18" t="s">
        <v>7</v>
      </c>
      <c r="M3" s="171">
        <f>COUNTA(N13:N152)</f>
        <v>140</v>
      </c>
      <c r="N3" s="169"/>
      <c r="O3" s="169"/>
      <c r="P3" s="170"/>
      <c r="Q3" s="171">
        <f>COUNTA(R13:R152)</f>
        <v>140</v>
      </c>
      <c r="R3" s="169"/>
      <c r="S3" s="169"/>
      <c r="T3" s="170"/>
      <c r="U3" s="221">
        <f>COUNTA(V13:V152)</f>
        <v>140</v>
      </c>
      <c r="V3" s="169"/>
      <c r="W3" s="169"/>
      <c r="X3" s="173"/>
      <c r="Y3" s="19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ht="18.75" customHeight="1" outlineLevel="1" thickTop="1">
      <c r="A4" s="20"/>
      <c r="B4" s="196"/>
      <c r="C4" s="194"/>
      <c r="D4" s="195"/>
      <c r="E4" s="195"/>
      <c r="F4" s="195"/>
      <c r="H4" s="191"/>
      <c r="I4" s="21" t="s">
        <v>5</v>
      </c>
      <c r="J4" s="22">
        <v>0.4</v>
      </c>
      <c r="K4" s="17"/>
      <c r="L4" s="18" t="s">
        <v>8</v>
      </c>
      <c r="M4" s="168">
        <f>M3-M5</f>
        <v>140</v>
      </c>
      <c r="N4" s="169"/>
      <c r="O4" s="169"/>
      <c r="P4" s="170"/>
      <c r="Q4" s="168">
        <f>Q3-Q5</f>
        <v>140</v>
      </c>
      <c r="R4" s="169"/>
      <c r="S4" s="169"/>
      <c r="T4" s="170"/>
      <c r="U4" s="172">
        <f>U3-U5</f>
        <v>140</v>
      </c>
      <c r="V4" s="169"/>
      <c r="W4" s="169"/>
      <c r="X4" s="173"/>
      <c r="Y4" s="19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 ht="18.75" customHeight="1" outlineLevel="1">
      <c r="A5" s="20"/>
      <c r="B5" s="23"/>
      <c r="C5" s="132"/>
      <c r="D5" s="96"/>
      <c r="E5" s="96"/>
      <c r="F5" s="96"/>
      <c r="G5" s="24"/>
      <c r="H5" s="191"/>
      <c r="I5" s="21" t="s">
        <v>6</v>
      </c>
      <c r="J5" s="22">
        <v>0.1</v>
      </c>
      <c r="K5" s="25"/>
      <c r="L5" s="26" t="s">
        <v>9</v>
      </c>
      <c r="M5" s="168">
        <f>COUNTIF(N13:N152, "100%")</f>
        <v>0</v>
      </c>
      <c r="N5" s="169"/>
      <c r="O5" s="169"/>
      <c r="P5" s="170"/>
      <c r="Q5" s="168">
        <f>COUNTIF(R13:R152, "100%")</f>
        <v>0</v>
      </c>
      <c r="R5" s="169"/>
      <c r="S5" s="169"/>
      <c r="T5" s="170"/>
      <c r="U5" s="172">
        <f>COUNTIF(V13:V152, "100%")</f>
        <v>0</v>
      </c>
      <c r="V5" s="169"/>
      <c r="W5" s="169"/>
      <c r="X5" s="173"/>
      <c r="Y5" s="27"/>
      <c r="Z5" s="28" t="s">
        <v>10</v>
      </c>
      <c r="AA5" s="29" t="s">
        <v>5</v>
      </c>
      <c r="AB5" s="30" t="s">
        <v>6</v>
      </c>
      <c r="AC5" s="119" t="s">
        <v>11</v>
      </c>
      <c r="AD5" s="128" t="s">
        <v>12</v>
      </c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 ht="18.75" customHeight="1" outlineLevel="1" thickBot="1">
      <c r="A6" s="31"/>
      <c r="B6" s="32"/>
      <c r="C6" s="133"/>
      <c r="D6" s="96"/>
      <c r="E6" s="96"/>
      <c r="F6" s="101"/>
      <c r="G6" s="33"/>
      <c r="H6" s="192"/>
      <c r="I6" s="34"/>
      <c r="J6" s="35"/>
      <c r="K6" s="25"/>
      <c r="L6" s="36" t="s">
        <v>13</v>
      </c>
      <c r="M6" s="214">
        <f>IFERROR(M5/M3, 0)</f>
        <v>0</v>
      </c>
      <c r="N6" s="175"/>
      <c r="O6" s="175"/>
      <c r="P6" s="215"/>
      <c r="Q6" s="214">
        <f>IFERROR(Q5/Q3, 0)</f>
        <v>0</v>
      </c>
      <c r="R6" s="175"/>
      <c r="S6" s="175"/>
      <c r="T6" s="215"/>
      <c r="U6" s="174">
        <f>IFERROR(U5/U3, 0)</f>
        <v>0</v>
      </c>
      <c r="V6" s="175"/>
      <c r="W6" s="175"/>
      <c r="X6" s="176"/>
      <c r="Y6" s="37"/>
      <c r="Z6" s="38"/>
      <c r="AA6" s="39"/>
      <c r="AB6" s="40"/>
      <c r="AC6" s="120"/>
      <c r="AD6" s="129">
        <v>7.31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 ht="10.5" customHeight="1" thickTop="1" thickBot="1">
      <c r="A7" s="41"/>
      <c r="B7" s="42"/>
      <c r="C7" s="42"/>
      <c r="D7" s="97"/>
      <c r="E7" s="100"/>
      <c r="F7" s="100"/>
      <c r="G7" s="43"/>
      <c r="H7" s="43"/>
      <c r="I7" s="43"/>
      <c r="J7" s="44"/>
      <c r="K7" s="45"/>
      <c r="L7" s="46"/>
      <c r="M7" s="47"/>
      <c r="N7" s="47"/>
      <c r="O7" s="48"/>
      <c r="P7" s="48"/>
      <c r="Q7" s="48"/>
      <c r="R7" s="48"/>
      <c r="S7" s="48"/>
      <c r="T7" s="48"/>
      <c r="U7" s="48"/>
      <c r="V7" s="48"/>
      <c r="W7" s="48"/>
      <c r="X7" s="48"/>
      <c r="Y7" s="49"/>
      <c r="Z7" s="50"/>
      <c r="AA7" s="50"/>
      <c r="AB7" s="50"/>
      <c r="AC7" s="50"/>
      <c r="AD7" s="48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 ht="16" customHeight="1" thickTop="1" thickBot="1">
      <c r="A8" s="51"/>
      <c r="B8" s="204" t="s">
        <v>14</v>
      </c>
      <c r="C8" s="163" t="s">
        <v>15</v>
      </c>
      <c r="D8" s="163" t="s">
        <v>16</v>
      </c>
      <c r="E8" s="163" t="s">
        <v>17</v>
      </c>
      <c r="F8" s="163" t="s">
        <v>18</v>
      </c>
      <c r="G8" s="163" t="s">
        <v>19</v>
      </c>
      <c r="H8" s="163" t="s">
        <v>20</v>
      </c>
      <c r="I8" s="198" t="s">
        <v>21</v>
      </c>
      <c r="J8" s="178"/>
      <c r="K8" s="178"/>
      <c r="L8" s="178"/>
      <c r="M8" s="201" t="s">
        <v>4</v>
      </c>
      <c r="N8" s="202"/>
      <c r="O8" s="202"/>
      <c r="P8" s="203"/>
      <c r="Q8" s="216" t="s">
        <v>5</v>
      </c>
      <c r="R8" s="181"/>
      <c r="S8" s="181"/>
      <c r="T8" s="182"/>
      <c r="U8" s="180" t="s">
        <v>6</v>
      </c>
      <c r="V8" s="181"/>
      <c r="W8" s="181"/>
      <c r="X8" s="182"/>
      <c r="Y8" s="52"/>
      <c r="Z8" s="177" t="s">
        <v>22</v>
      </c>
      <c r="AA8" s="178"/>
      <c r="AB8" s="178"/>
      <c r="AC8" s="178"/>
      <c r="AD8" s="179"/>
      <c r="AE8" s="197" t="s">
        <v>23</v>
      </c>
      <c r="AF8" s="178"/>
      <c r="AG8" s="178"/>
      <c r="AH8" s="178"/>
      <c r="AI8" s="179"/>
      <c r="AJ8" s="197" t="s">
        <v>24</v>
      </c>
      <c r="AK8" s="178"/>
      <c r="AL8" s="178"/>
      <c r="AM8" s="178"/>
      <c r="AN8" s="17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 ht="29" customHeight="1" thickBot="1">
      <c r="A9" s="53"/>
      <c r="B9" s="205"/>
      <c r="C9" s="164"/>
      <c r="D9" s="164"/>
      <c r="E9" s="164"/>
      <c r="F9" s="164"/>
      <c r="G9" s="164"/>
      <c r="H9" s="164"/>
      <c r="I9" s="199"/>
      <c r="J9" s="200"/>
      <c r="K9" s="200"/>
      <c r="L9" s="200"/>
      <c r="M9" s="82" t="s">
        <v>25</v>
      </c>
      <c r="N9" s="54" t="s">
        <v>13</v>
      </c>
      <c r="O9" s="81" t="s">
        <v>26</v>
      </c>
      <c r="P9" s="83" t="s">
        <v>27</v>
      </c>
      <c r="Q9" s="55" t="s">
        <v>25</v>
      </c>
      <c r="R9" s="56" t="s">
        <v>13</v>
      </c>
      <c r="S9" s="56" t="s">
        <v>26</v>
      </c>
      <c r="T9" s="57" t="s">
        <v>27</v>
      </c>
      <c r="U9" s="58" t="s">
        <v>25</v>
      </c>
      <c r="V9" s="59" t="s">
        <v>13</v>
      </c>
      <c r="W9" s="59" t="s">
        <v>26</v>
      </c>
      <c r="X9" s="60" t="s">
        <v>27</v>
      </c>
      <c r="Y9" s="61"/>
      <c r="Z9" s="89" t="s">
        <v>28</v>
      </c>
      <c r="AA9" s="62" t="s">
        <v>29</v>
      </c>
      <c r="AB9" s="62" t="s">
        <v>30</v>
      </c>
      <c r="AC9" s="62" t="s">
        <v>31</v>
      </c>
      <c r="AD9" s="63" t="s">
        <v>32</v>
      </c>
      <c r="AE9" s="64" t="s">
        <v>33</v>
      </c>
      <c r="AF9" s="62" t="s">
        <v>34</v>
      </c>
      <c r="AG9" s="62" t="s">
        <v>35</v>
      </c>
      <c r="AH9" s="62" t="s">
        <v>36</v>
      </c>
      <c r="AI9" s="63" t="s">
        <v>37</v>
      </c>
      <c r="AJ9" s="64" t="s">
        <v>38</v>
      </c>
      <c r="AK9" s="62" t="s">
        <v>39</v>
      </c>
      <c r="AL9" s="62" t="s">
        <v>40</v>
      </c>
      <c r="AM9" s="62" t="s">
        <v>41</v>
      </c>
      <c r="AN9" s="63" t="s">
        <v>42</v>
      </c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 ht="16" customHeight="1" thickTop="1">
      <c r="A10" s="53"/>
      <c r="B10" s="104" t="s">
        <v>43</v>
      </c>
      <c r="C10" s="134"/>
      <c r="D10" s="105"/>
      <c r="E10" s="105"/>
      <c r="F10" s="105"/>
      <c r="G10" s="106"/>
      <c r="H10" s="110" t="s">
        <v>44</v>
      </c>
      <c r="I10" s="206"/>
      <c r="J10" s="207"/>
      <c r="K10" s="207"/>
      <c r="L10" s="208"/>
      <c r="M10" s="84" t="s">
        <v>45</v>
      </c>
      <c r="N10" s="67">
        <v>0</v>
      </c>
      <c r="O10" s="88">
        <v>46146</v>
      </c>
      <c r="P10" s="93">
        <v>46150</v>
      </c>
      <c r="Q10" s="66"/>
      <c r="R10" s="67"/>
      <c r="S10" s="68"/>
      <c r="T10" s="68"/>
      <c r="U10" s="66"/>
      <c r="V10" s="67"/>
      <c r="W10" s="68"/>
      <c r="X10" s="69"/>
      <c r="Y10" s="61"/>
      <c r="Z10" s="245"/>
      <c r="AA10" s="121"/>
      <c r="AB10" s="246"/>
      <c r="AC10" s="246"/>
      <c r="AD10" s="247"/>
      <c r="AE10" s="248"/>
      <c r="AF10" s="246"/>
      <c r="AG10" s="246"/>
      <c r="AH10" s="246"/>
      <c r="AI10" s="247"/>
      <c r="AJ10" s="248"/>
      <c r="AK10" s="246"/>
      <c r="AL10" s="246"/>
      <c r="AM10" s="246"/>
      <c r="AN10" s="247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 ht="16" customHeight="1">
      <c r="A11" s="53"/>
      <c r="B11" s="107" t="s">
        <v>46</v>
      </c>
      <c r="C11" s="135"/>
      <c r="D11" s="108"/>
      <c r="E11" s="108"/>
      <c r="F11" s="108"/>
      <c r="G11" s="109"/>
      <c r="H11" s="111" t="s">
        <v>44</v>
      </c>
      <c r="I11" s="188"/>
      <c r="J11" s="169"/>
      <c r="K11" s="169"/>
      <c r="L11" s="189"/>
      <c r="M11" s="84" t="s">
        <v>45</v>
      </c>
      <c r="N11" s="67">
        <v>0</v>
      </c>
      <c r="O11" s="88">
        <v>46146</v>
      </c>
      <c r="P11" s="92">
        <v>46150</v>
      </c>
      <c r="Q11" s="66"/>
      <c r="R11" s="67"/>
      <c r="S11" s="68"/>
      <c r="T11" s="68"/>
      <c r="U11" s="66"/>
      <c r="V11" s="67"/>
      <c r="W11" s="68"/>
      <c r="X11" s="69"/>
      <c r="Y11" s="61"/>
      <c r="Z11" s="245"/>
      <c r="AA11" s="121"/>
      <c r="AB11" s="121"/>
      <c r="AC11" s="121"/>
      <c r="AD11" s="247"/>
      <c r="AE11" s="248"/>
      <c r="AF11" s="246"/>
      <c r="AG11" s="246"/>
      <c r="AH11" s="246"/>
      <c r="AI11" s="247"/>
      <c r="AJ11" s="248"/>
      <c r="AK11" s="246"/>
      <c r="AL11" s="246"/>
      <c r="AM11" s="246"/>
      <c r="AN11" s="247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 ht="16" customHeight="1">
      <c r="A12" s="53"/>
      <c r="B12" s="107" t="s">
        <v>47</v>
      </c>
      <c r="C12" s="135"/>
      <c r="D12" s="108"/>
      <c r="E12" s="108"/>
      <c r="F12" s="108"/>
      <c r="G12" s="109"/>
      <c r="H12" s="111" t="s">
        <v>44</v>
      </c>
      <c r="I12" s="188"/>
      <c r="J12" s="169"/>
      <c r="K12" s="169"/>
      <c r="L12" s="189"/>
      <c r="M12" s="84" t="s">
        <v>45</v>
      </c>
      <c r="N12" s="67">
        <v>0</v>
      </c>
      <c r="O12" s="88">
        <v>46154</v>
      </c>
      <c r="P12" s="94">
        <v>46160</v>
      </c>
      <c r="Q12" s="66"/>
      <c r="R12" s="67"/>
      <c r="S12" s="68"/>
      <c r="T12" s="68"/>
      <c r="U12" s="66"/>
      <c r="V12" s="67"/>
      <c r="W12" s="68"/>
      <c r="X12" s="69"/>
      <c r="Y12" s="61"/>
      <c r="Z12" s="245"/>
      <c r="AA12" s="246"/>
      <c r="AB12" s="121"/>
      <c r="AC12" s="121"/>
      <c r="AD12" s="247"/>
      <c r="AE12" s="248"/>
      <c r="AF12" s="246"/>
      <c r="AG12" s="246"/>
      <c r="AH12" s="246"/>
      <c r="AI12" s="247"/>
      <c r="AJ12" s="248"/>
      <c r="AK12" s="246"/>
      <c r="AL12" s="246"/>
      <c r="AM12" s="246"/>
      <c r="AN12" s="247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 ht="16" customHeight="1">
      <c r="A13" s="65"/>
      <c r="B13" s="91" t="s">
        <v>48</v>
      </c>
      <c r="C13" s="136" t="s">
        <v>49</v>
      </c>
      <c r="D13" s="138" t="s">
        <v>50</v>
      </c>
      <c r="E13" s="139" t="s">
        <v>51</v>
      </c>
      <c r="F13" s="139"/>
      <c r="G13" s="139"/>
      <c r="H13" s="140" t="s">
        <v>44</v>
      </c>
      <c r="I13" s="165" t="s">
        <v>52</v>
      </c>
      <c r="J13" s="166"/>
      <c r="K13" s="166"/>
      <c r="L13" s="167"/>
      <c r="M13" s="84" t="s">
        <v>45</v>
      </c>
      <c r="N13" s="67">
        <v>0</v>
      </c>
      <c r="O13" s="141">
        <v>46162</v>
      </c>
      <c r="P13" s="142">
        <v>46164</v>
      </c>
      <c r="Q13" s="66" t="s">
        <v>53</v>
      </c>
      <c r="R13" s="67">
        <v>0</v>
      </c>
      <c r="S13" s="141">
        <v>46181</v>
      </c>
      <c r="T13" s="142">
        <v>46185</v>
      </c>
      <c r="U13" s="66" t="s">
        <v>45</v>
      </c>
      <c r="V13" s="67">
        <v>0</v>
      </c>
      <c r="W13" s="141">
        <v>46213</v>
      </c>
      <c r="X13" s="142">
        <v>46216</v>
      </c>
      <c r="Y13" s="70"/>
      <c r="Z13" s="245"/>
      <c r="AA13" s="246"/>
      <c r="AB13" s="246"/>
      <c r="AC13" s="121"/>
      <c r="AD13" s="247"/>
      <c r="AE13" s="248"/>
      <c r="AF13" s="124"/>
      <c r="AG13" s="246"/>
      <c r="AH13" s="246"/>
      <c r="AI13" s="247"/>
      <c r="AJ13" s="248"/>
      <c r="AK13" s="262"/>
      <c r="AL13" s="262"/>
      <c r="AM13" s="246"/>
      <c r="AN13" s="247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 ht="16" customHeight="1">
      <c r="A14" s="65"/>
      <c r="B14" s="71"/>
      <c r="C14" s="136" t="s">
        <v>49</v>
      </c>
      <c r="D14" s="138"/>
      <c r="E14" s="139" t="s">
        <v>51</v>
      </c>
      <c r="F14" s="139" t="s">
        <v>54</v>
      </c>
      <c r="G14" s="139"/>
      <c r="H14" s="140" t="s">
        <v>44</v>
      </c>
      <c r="I14" s="165" t="s">
        <v>55</v>
      </c>
      <c r="J14" s="166"/>
      <c r="K14" s="166"/>
      <c r="L14" s="167"/>
      <c r="M14" s="84" t="s">
        <v>45</v>
      </c>
      <c r="N14" s="67">
        <v>0</v>
      </c>
      <c r="O14" s="141">
        <v>46162</v>
      </c>
      <c r="P14" s="142">
        <v>46164</v>
      </c>
      <c r="Q14" s="66" t="s">
        <v>53</v>
      </c>
      <c r="R14" s="67">
        <v>0</v>
      </c>
      <c r="S14" s="141">
        <v>46181</v>
      </c>
      <c r="T14" s="142">
        <v>46185</v>
      </c>
      <c r="U14" s="66" t="s">
        <v>45</v>
      </c>
      <c r="V14" s="67">
        <v>0</v>
      </c>
      <c r="W14" s="141">
        <v>46213</v>
      </c>
      <c r="X14" s="142">
        <v>46216</v>
      </c>
      <c r="Y14" s="70"/>
      <c r="Z14" s="245"/>
      <c r="AA14" s="246"/>
      <c r="AB14" s="246"/>
      <c r="AC14" s="121"/>
      <c r="AD14" s="247"/>
      <c r="AE14" s="248"/>
      <c r="AF14" s="124"/>
      <c r="AG14" s="246"/>
      <c r="AH14" s="246"/>
      <c r="AI14" s="247"/>
      <c r="AJ14" s="248"/>
      <c r="AK14" s="262"/>
      <c r="AL14" s="262"/>
      <c r="AM14" s="246"/>
      <c r="AN14" s="247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ht="16" customHeight="1">
      <c r="A15" s="65"/>
      <c r="B15" s="71"/>
      <c r="C15" s="136" t="s">
        <v>49</v>
      </c>
      <c r="D15" s="138"/>
      <c r="E15" s="139" t="s">
        <v>51</v>
      </c>
      <c r="F15" s="139" t="s">
        <v>56</v>
      </c>
      <c r="G15" s="139"/>
      <c r="H15" s="140" t="s">
        <v>44</v>
      </c>
      <c r="I15" s="165"/>
      <c r="J15" s="166"/>
      <c r="K15" s="166"/>
      <c r="L15" s="167"/>
      <c r="M15" s="84" t="s">
        <v>45</v>
      </c>
      <c r="N15" s="67">
        <v>0</v>
      </c>
      <c r="O15" s="141">
        <v>46162</v>
      </c>
      <c r="P15" s="142">
        <v>46164</v>
      </c>
      <c r="Q15" s="66" t="s">
        <v>53</v>
      </c>
      <c r="R15" s="67">
        <v>0</v>
      </c>
      <c r="S15" s="141">
        <v>46181</v>
      </c>
      <c r="T15" s="142">
        <v>46185</v>
      </c>
      <c r="U15" s="66" t="s">
        <v>45</v>
      </c>
      <c r="V15" s="67">
        <v>0</v>
      </c>
      <c r="W15" s="141">
        <v>46213</v>
      </c>
      <c r="X15" s="142">
        <v>46216</v>
      </c>
      <c r="Y15" s="70"/>
      <c r="Z15" s="245"/>
      <c r="AA15" s="246"/>
      <c r="AB15" s="246"/>
      <c r="AC15" s="121"/>
      <c r="AD15" s="247"/>
      <c r="AE15" s="248"/>
      <c r="AF15" s="124"/>
      <c r="AG15" s="246"/>
      <c r="AH15" s="246"/>
      <c r="AI15" s="247"/>
      <c r="AJ15" s="248"/>
      <c r="AK15" s="262"/>
      <c r="AL15" s="262"/>
      <c r="AM15" s="246"/>
      <c r="AN15" s="247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6" customHeight="1">
      <c r="A16" s="65"/>
      <c r="B16" s="71"/>
      <c r="C16" s="136" t="s">
        <v>49</v>
      </c>
      <c r="D16" s="138"/>
      <c r="E16" s="139" t="s">
        <v>51</v>
      </c>
      <c r="F16" s="139" t="s">
        <v>57</v>
      </c>
      <c r="G16" s="139"/>
      <c r="H16" s="140" t="s">
        <v>44</v>
      </c>
      <c r="I16" s="165" t="s">
        <v>58</v>
      </c>
      <c r="J16" s="166"/>
      <c r="K16" s="166"/>
      <c r="L16" s="167"/>
      <c r="M16" s="84" t="s">
        <v>45</v>
      </c>
      <c r="N16" s="67">
        <v>0</v>
      </c>
      <c r="O16" s="141">
        <v>46162</v>
      </c>
      <c r="P16" s="142">
        <v>46164</v>
      </c>
      <c r="Q16" s="66" t="s">
        <v>53</v>
      </c>
      <c r="R16" s="67">
        <v>0</v>
      </c>
      <c r="S16" s="141">
        <v>46181</v>
      </c>
      <c r="T16" s="142">
        <v>46185</v>
      </c>
      <c r="U16" s="66" t="s">
        <v>45</v>
      </c>
      <c r="V16" s="67">
        <v>0</v>
      </c>
      <c r="W16" s="141">
        <v>46213</v>
      </c>
      <c r="X16" s="142">
        <v>46216</v>
      </c>
      <c r="Y16" s="70"/>
      <c r="Z16" s="245"/>
      <c r="AA16" s="246"/>
      <c r="AB16" s="246"/>
      <c r="AC16" s="121"/>
      <c r="AD16" s="247"/>
      <c r="AE16" s="248"/>
      <c r="AF16" s="124"/>
      <c r="AG16" s="246"/>
      <c r="AH16" s="246"/>
      <c r="AI16" s="247"/>
      <c r="AJ16" s="248"/>
      <c r="AK16" s="262"/>
      <c r="AL16" s="262"/>
      <c r="AM16" s="246"/>
      <c r="AN16" s="247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6" customHeight="1">
      <c r="A17" s="65"/>
      <c r="B17" s="71"/>
      <c r="C17" s="136" t="s">
        <v>49</v>
      </c>
      <c r="D17" s="143"/>
      <c r="E17" s="139" t="s">
        <v>59</v>
      </c>
      <c r="F17" s="139"/>
      <c r="G17" s="139"/>
      <c r="H17" s="140" t="s">
        <v>44</v>
      </c>
      <c r="I17" s="165"/>
      <c r="J17" s="166"/>
      <c r="K17" s="166"/>
      <c r="L17" s="167"/>
      <c r="M17" s="84" t="s">
        <v>45</v>
      </c>
      <c r="N17" s="67">
        <v>0</v>
      </c>
      <c r="O17" s="141">
        <v>46162</v>
      </c>
      <c r="P17" s="142">
        <v>46164</v>
      </c>
      <c r="Q17" s="66" t="s">
        <v>53</v>
      </c>
      <c r="R17" s="67">
        <v>0</v>
      </c>
      <c r="S17" s="141">
        <v>46181</v>
      </c>
      <c r="T17" s="142">
        <v>46185</v>
      </c>
      <c r="U17" s="66" t="s">
        <v>45</v>
      </c>
      <c r="V17" s="67">
        <v>0</v>
      </c>
      <c r="W17" s="141">
        <v>46213</v>
      </c>
      <c r="X17" s="142">
        <v>46216</v>
      </c>
      <c r="Y17" s="70"/>
      <c r="Z17" s="245"/>
      <c r="AA17" s="246"/>
      <c r="AB17" s="246"/>
      <c r="AC17" s="121"/>
      <c r="AD17" s="247"/>
      <c r="AE17" s="248"/>
      <c r="AF17" s="124"/>
      <c r="AG17" s="246"/>
      <c r="AH17" s="246"/>
      <c r="AI17" s="247"/>
      <c r="AJ17" s="248"/>
      <c r="AK17" s="262"/>
      <c r="AL17" s="262"/>
      <c r="AM17" s="246"/>
      <c r="AN17" s="247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6" customHeight="1">
      <c r="A18" s="65"/>
      <c r="B18" s="71"/>
      <c r="C18" s="136" t="s">
        <v>60</v>
      </c>
      <c r="D18" s="143" t="s">
        <v>61</v>
      </c>
      <c r="E18" s="139" t="s">
        <v>62</v>
      </c>
      <c r="F18" s="139"/>
      <c r="G18" s="139"/>
      <c r="H18" s="140" t="s">
        <v>44</v>
      </c>
      <c r="I18" s="165" t="s">
        <v>63</v>
      </c>
      <c r="J18" s="166"/>
      <c r="K18" s="166"/>
      <c r="L18" s="167"/>
      <c r="M18" s="84" t="s">
        <v>45</v>
      </c>
      <c r="N18" s="67">
        <v>0</v>
      </c>
      <c r="O18" s="141">
        <v>46167</v>
      </c>
      <c r="P18" s="142">
        <v>46169</v>
      </c>
      <c r="Q18" s="66" t="s">
        <v>53</v>
      </c>
      <c r="R18" s="67">
        <v>0</v>
      </c>
      <c r="S18" s="141">
        <v>46188</v>
      </c>
      <c r="T18" s="142">
        <v>46192</v>
      </c>
      <c r="U18" s="66" t="s">
        <v>45</v>
      </c>
      <c r="V18" s="67">
        <v>0</v>
      </c>
      <c r="W18" s="141">
        <v>46213</v>
      </c>
      <c r="X18" s="142">
        <v>46216</v>
      </c>
      <c r="Y18" s="70"/>
      <c r="Z18" s="245"/>
      <c r="AA18" s="246"/>
      <c r="AB18" s="246"/>
      <c r="AC18" s="246"/>
      <c r="AD18" s="122"/>
      <c r="AE18" s="248"/>
      <c r="AF18" s="246"/>
      <c r="AG18" s="124"/>
      <c r="AH18" s="246"/>
      <c r="AI18" s="247"/>
      <c r="AJ18" s="248"/>
      <c r="AK18" s="262"/>
      <c r="AL18" s="262"/>
      <c r="AM18" s="246"/>
      <c r="AN18" s="247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6" customHeight="1">
      <c r="A19" s="65"/>
      <c r="B19" s="71"/>
      <c r="C19" s="136" t="s">
        <v>64</v>
      </c>
      <c r="D19" s="143"/>
      <c r="E19" s="139" t="s">
        <v>65</v>
      </c>
      <c r="F19" s="139"/>
      <c r="G19" s="139"/>
      <c r="H19" s="140" t="s">
        <v>44</v>
      </c>
      <c r="I19" s="165" t="s">
        <v>66</v>
      </c>
      <c r="J19" s="166"/>
      <c r="K19" s="166"/>
      <c r="L19" s="167"/>
      <c r="M19" s="84" t="s">
        <v>45</v>
      </c>
      <c r="N19" s="67">
        <v>0</v>
      </c>
      <c r="O19" s="141">
        <v>46167</v>
      </c>
      <c r="P19" s="142">
        <v>46169</v>
      </c>
      <c r="Q19" s="66" t="s">
        <v>53</v>
      </c>
      <c r="R19" s="67">
        <v>0</v>
      </c>
      <c r="S19" s="141">
        <v>46188</v>
      </c>
      <c r="T19" s="142">
        <v>46192</v>
      </c>
      <c r="U19" s="73" t="s">
        <v>45</v>
      </c>
      <c r="V19" s="67">
        <v>0</v>
      </c>
      <c r="W19" s="141">
        <v>46213</v>
      </c>
      <c r="X19" s="142">
        <v>46216</v>
      </c>
      <c r="Y19" s="70"/>
      <c r="Z19" s="245"/>
      <c r="AA19" s="246"/>
      <c r="AB19" s="246"/>
      <c r="AC19" s="246"/>
      <c r="AD19" s="122"/>
      <c r="AE19" s="248"/>
      <c r="AF19" s="246"/>
      <c r="AG19" s="124"/>
      <c r="AH19" s="246"/>
      <c r="AI19" s="247"/>
      <c r="AJ19" s="248"/>
      <c r="AK19" s="262"/>
      <c r="AL19" s="262"/>
      <c r="AM19" s="246"/>
      <c r="AN19" s="247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 ht="16" customHeight="1">
      <c r="A20" s="65"/>
      <c r="B20" s="71"/>
      <c r="C20" s="136" t="s">
        <v>64</v>
      </c>
      <c r="D20" s="143"/>
      <c r="E20" s="139" t="s">
        <v>67</v>
      </c>
      <c r="F20" s="139"/>
      <c r="G20" s="139"/>
      <c r="H20" s="140" t="s">
        <v>44</v>
      </c>
      <c r="I20" s="165" t="s">
        <v>68</v>
      </c>
      <c r="J20" s="166"/>
      <c r="K20" s="166"/>
      <c r="L20" s="167"/>
      <c r="M20" s="84" t="s">
        <v>45</v>
      </c>
      <c r="N20" s="67">
        <v>0</v>
      </c>
      <c r="O20" s="141">
        <v>46167</v>
      </c>
      <c r="P20" s="142">
        <v>46169</v>
      </c>
      <c r="Q20" s="66" t="s">
        <v>53</v>
      </c>
      <c r="R20" s="67">
        <v>0</v>
      </c>
      <c r="S20" s="141">
        <v>46188</v>
      </c>
      <c r="T20" s="142">
        <v>46192</v>
      </c>
      <c r="U20" s="66" t="s">
        <v>45</v>
      </c>
      <c r="V20" s="67">
        <v>0</v>
      </c>
      <c r="W20" s="141">
        <v>46213</v>
      </c>
      <c r="X20" s="142">
        <v>46216</v>
      </c>
      <c r="Y20" s="70"/>
      <c r="Z20" s="245"/>
      <c r="AA20" s="246"/>
      <c r="AB20" s="246"/>
      <c r="AC20" s="246"/>
      <c r="AD20" s="122"/>
      <c r="AE20" s="248"/>
      <c r="AF20" s="246"/>
      <c r="AG20" s="124"/>
      <c r="AH20" s="246"/>
      <c r="AI20" s="247"/>
      <c r="AJ20" s="248"/>
      <c r="AK20" s="262"/>
      <c r="AL20" s="262"/>
      <c r="AM20" s="246"/>
      <c r="AN20" s="247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 ht="16" customHeight="1">
      <c r="A21" s="65"/>
      <c r="B21" s="71"/>
      <c r="C21" s="136" t="s">
        <v>64</v>
      </c>
      <c r="D21" s="143"/>
      <c r="E21" s="144" t="s">
        <v>69</v>
      </c>
      <c r="F21" s="139"/>
      <c r="G21" s="139"/>
      <c r="H21" s="140" t="s">
        <v>44</v>
      </c>
      <c r="I21" s="165"/>
      <c r="J21" s="166"/>
      <c r="K21" s="166"/>
      <c r="L21" s="167"/>
      <c r="M21" s="84" t="s">
        <v>45</v>
      </c>
      <c r="N21" s="67">
        <v>0</v>
      </c>
      <c r="O21" s="141">
        <v>46167</v>
      </c>
      <c r="P21" s="142">
        <v>46169</v>
      </c>
      <c r="Q21" s="66" t="s">
        <v>53</v>
      </c>
      <c r="R21" s="67">
        <v>0</v>
      </c>
      <c r="S21" s="141">
        <v>46188</v>
      </c>
      <c r="T21" s="142">
        <v>46192</v>
      </c>
      <c r="U21" s="66" t="s">
        <v>45</v>
      </c>
      <c r="V21" s="67">
        <v>0</v>
      </c>
      <c r="W21" s="141">
        <v>46213</v>
      </c>
      <c r="X21" s="142">
        <v>46216</v>
      </c>
      <c r="Y21" s="70"/>
      <c r="Z21" s="245"/>
      <c r="AA21" s="246"/>
      <c r="AB21" s="246"/>
      <c r="AC21" s="246"/>
      <c r="AD21" s="122"/>
      <c r="AE21" s="248"/>
      <c r="AF21" s="246"/>
      <c r="AG21" s="124"/>
      <c r="AH21" s="246"/>
      <c r="AI21" s="247"/>
      <c r="AJ21" s="248"/>
      <c r="AK21" s="262"/>
      <c r="AL21" s="262"/>
      <c r="AM21" s="246"/>
      <c r="AN21" s="247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6" customHeight="1">
      <c r="A22" s="65"/>
      <c r="B22" s="71"/>
      <c r="C22" s="136" t="s">
        <v>64</v>
      </c>
      <c r="D22" s="143"/>
      <c r="E22" s="144" t="s">
        <v>70</v>
      </c>
      <c r="F22" s="139"/>
      <c r="G22" s="139"/>
      <c r="H22" s="140" t="s">
        <v>44</v>
      </c>
      <c r="I22" s="165"/>
      <c r="J22" s="166"/>
      <c r="K22" s="166"/>
      <c r="L22" s="167"/>
      <c r="M22" s="84" t="s">
        <v>45</v>
      </c>
      <c r="N22" s="67">
        <v>0</v>
      </c>
      <c r="O22" s="141">
        <v>46167</v>
      </c>
      <c r="P22" s="142">
        <v>46169</v>
      </c>
      <c r="Q22" s="66" t="s">
        <v>53</v>
      </c>
      <c r="R22" s="67">
        <v>0</v>
      </c>
      <c r="S22" s="141">
        <v>46188</v>
      </c>
      <c r="T22" s="142">
        <v>46192</v>
      </c>
      <c r="U22" s="66" t="s">
        <v>45</v>
      </c>
      <c r="V22" s="67">
        <v>0</v>
      </c>
      <c r="W22" s="141">
        <v>46213</v>
      </c>
      <c r="X22" s="142">
        <v>46216</v>
      </c>
      <c r="Y22" s="70"/>
      <c r="Z22" s="245"/>
      <c r="AA22" s="246"/>
      <c r="AB22" s="246"/>
      <c r="AC22" s="246"/>
      <c r="AD22" s="122"/>
      <c r="AE22" s="248"/>
      <c r="AF22" s="246"/>
      <c r="AG22" s="124"/>
      <c r="AH22" s="246"/>
      <c r="AI22" s="247"/>
      <c r="AJ22" s="248"/>
      <c r="AK22" s="262"/>
      <c r="AL22" s="262"/>
      <c r="AM22" s="246"/>
      <c r="AN22" s="247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6" customHeight="1">
      <c r="A23" s="65"/>
      <c r="B23" s="71"/>
      <c r="C23" s="136" t="s">
        <v>60</v>
      </c>
      <c r="D23" s="143" t="s">
        <v>71</v>
      </c>
      <c r="E23" s="144" t="s">
        <v>72</v>
      </c>
      <c r="F23" s="139"/>
      <c r="G23" s="139"/>
      <c r="H23" s="140" t="s">
        <v>44</v>
      </c>
      <c r="I23" s="165" t="s">
        <v>73</v>
      </c>
      <c r="J23" s="166"/>
      <c r="K23" s="166"/>
      <c r="L23" s="167"/>
      <c r="M23" s="84" t="s">
        <v>45</v>
      </c>
      <c r="N23" s="67">
        <v>0</v>
      </c>
      <c r="O23" s="141">
        <v>46168</v>
      </c>
      <c r="P23" s="142">
        <v>46170</v>
      </c>
      <c r="Q23" s="66" t="s">
        <v>53</v>
      </c>
      <c r="R23" s="67">
        <v>0</v>
      </c>
      <c r="S23" s="141">
        <v>46188</v>
      </c>
      <c r="T23" s="142">
        <v>46190</v>
      </c>
      <c r="U23" s="66" t="s">
        <v>45</v>
      </c>
      <c r="V23" s="67">
        <v>0</v>
      </c>
      <c r="W23" s="141">
        <v>46213</v>
      </c>
      <c r="X23" s="142">
        <v>46216</v>
      </c>
      <c r="Y23" s="70"/>
      <c r="Z23" s="245"/>
      <c r="AA23" s="246"/>
      <c r="AB23" s="246"/>
      <c r="AC23" s="246"/>
      <c r="AD23" s="122"/>
      <c r="AE23" s="248"/>
      <c r="AF23" s="246"/>
      <c r="AG23" s="124"/>
      <c r="AH23" s="246"/>
      <c r="AI23" s="247"/>
      <c r="AJ23" s="248"/>
      <c r="AK23" s="262"/>
      <c r="AL23" s="262"/>
      <c r="AM23" s="246"/>
      <c r="AN23" s="247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6" customHeight="1">
      <c r="A24" s="65"/>
      <c r="B24" s="71"/>
      <c r="C24" s="136" t="s">
        <v>60</v>
      </c>
      <c r="D24" s="143"/>
      <c r="E24" s="144" t="s">
        <v>74</v>
      </c>
      <c r="F24" s="139"/>
      <c r="G24" s="139"/>
      <c r="H24" s="140" t="s">
        <v>44</v>
      </c>
      <c r="I24" s="165"/>
      <c r="J24" s="166"/>
      <c r="K24" s="166"/>
      <c r="L24" s="167"/>
      <c r="M24" s="84" t="s">
        <v>45</v>
      </c>
      <c r="N24" s="67">
        <v>0</v>
      </c>
      <c r="O24" s="141">
        <v>46168</v>
      </c>
      <c r="P24" s="142">
        <v>46170</v>
      </c>
      <c r="Q24" s="66" t="s">
        <v>53</v>
      </c>
      <c r="R24" s="67">
        <v>0</v>
      </c>
      <c r="S24" s="141">
        <v>46188</v>
      </c>
      <c r="T24" s="142">
        <v>46190</v>
      </c>
      <c r="U24" s="66" t="s">
        <v>45</v>
      </c>
      <c r="V24" s="67">
        <v>0</v>
      </c>
      <c r="W24" s="141">
        <v>46213</v>
      </c>
      <c r="X24" s="142">
        <v>46216</v>
      </c>
      <c r="Y24" s="70"/>
      <c r="Z24" s="245"/>
      <c r="AA24" s="246"/>
      <c r="AB24" s="246"/>
      <c r="AC24" s="246"/>
      <c r="AD24" s="122"/>
      <c r="AE24" s="248"/>
      <c r="AF24" s="246"/>
      <c r="AG24" s="124"/>
      <c r="AH24" s="246"/>
      <c r="AI24" s="247"/>
      <c r="AJ24" s="248"/>
      <c r="AK24" s="262"/>
      <c r="AL24" s="262"/>
      <c r="AM24" s="246"/>
      <c r="AN24" s="247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 ht="16" customHeight="1">
      <c r="A25" s="65"/>
      <c r="B25" s="71"/>
      <c r="C25" s="136" t="s">
        <v>60</v>
      </c>
      <c r="D25" s="143"/>
      <c r="E25" s="139" t="s">
        <v>75</v>
      </c>
      <c r="F25" s="139"/>
      <c r="G25" s="139"/>
      <c r="H25" s="140" t="s">
        <v>44</v>
      </c>
      <c r="I25" s="165"/>
      <c r="J25" s="166"/>
      <c r="K25" s="166"/>
      <c r="L25" s="167"/>
      <c r="M25" s="84" t="s">
        <v>45</v>
      </c>
      <c r="N25" s="67">
        <v>0</v>
      </c>
      <c r="O25" s="141">
        <v>46168</v>
      </c>
      <c r="P25" s="142">
        <v>46170</v>
      </c>
      <c r="Q25" s="66" t="s">
        <v>53</v>
      </c>
      <c r="R25" s="67">
        <v>0</v>
      </c>
      <c r="S25" s="141">
        <v>46188</v>
      </c>
      <c r="T25" s="142">
        <v>46190</v>
      </c>
      <c r="U25" s="66" t="s">
        <v>45</v>
      </c>
      <c r="V25" s="67">
        <v>0</v>
      </c>
      <c r="W25" s="141">
        <v>46213</v>
      </c>
      <c r="X25" s="142">
        <v>46216</v>
      </c>
      <c r="Y25" s="70"/>
      <c r="Z25" s="245"/>
      <c r="AA25" s="246"/>
      <c r="AB25" s="246"/>
      <c r="AC25" s="246"/>
      <c r="AD25" s="122"/>
      <c r="AE25" s="248"/>
      <c r="AF25" s="246"/>
      <c r="AG25" s="124"/>
      <c r="AH25" s="246"/>
      <c r="AI25" s="247"/>
      <c r="AJ25" s="248"/>
      <c r="AK25" s="262"/>
      <c r="AL25" s="262"/>
      <c r="AM25" s="246"/>
      <c r="AN25" s="247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 ht="16" customHeight="1">
      <c r="A26" s="65"/>
      <c r="B26" s="71"/>
      <c r="C26" s="136" t="s">
        <v>60</v>
      </c>
      <c r="D26" s="143"/>
      <c r="E26" s="139" t="s">
        <v>76</v>
      </c>
      <c r="F26" s="139"/>
      <c r="G26" s="139"/>
      <c r="H26" s="140" t="s">
        <v>44</v>
      </c>
      <c r="I26" s="165"/>
      <c r="J26" s="166"/>
      <c r="K26" s="166"/>
      <c r="L26" s="167"/>
      <c r="M26" s="84" t="s">
        <v>45</v>
      </c>
      <c r="N26" s="67">
        <v>0</v>
      </c>
      <c r="O26" s="141">
        <v>46168</v>
      </c>
      <c r="P26" s="142">
        <v>46170</v>
      </c>
      <c r="Q26" s="66" t="s">
        <v>53</v>
      </c>
      <c r="R26" s="67">
        <v>0</v>
      </c>
      <c r="S26" s="141">
        <v>46188</v>
      </c>
      <c r="T26" s="142">
        <v>46190</v>
      </c>
      <c r="U26" s="66" t="s">
        <v>45</v>
      </c>
      <c r="V26" s="67">
        <v>0</v>
      </c>
      <c r="W26" s="141">
        <v>46213</v>
      </c>
      <c r="X26" s="142">
        <v>46216</v>
      </c>
      <c r="Y26" s="70"/>
      <c r="Z26" s="245"/>
      <c r="AA26" s="246"/>
      <c r="AB26" s="246"/>
      <c r="AC26" s="246"/>
      <c r="AD26" s="122"/>
      <c r="AE26" s="248"/>
      <c r="AF26" s="246"/>
      <c r="AG26" s="124"/>
      <c r="AH26" s="246"/>
      <c r="AI26" s="247"/>
      <c r="AJ26" s="248"/>
      <c r="AK26" s="262"/>
      <c r="AL26" s="262"/>
      <c r="AM26" s="246"/>
      <c r="AN26" s="247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 ht="16" customHeight="1">
      <c r="A27" s="65"/>
      <c r="B27" s="71"/>
      <c r="C27" s="136" t="s">
        <v>60</v>
      </c>
      <c r="D27" s="143" t="s">
        <v>77</v>
      </c>
      <c r="E27" s="139" t="s">
        <v>78</v>
      </c>
      <c r="F27" s="139"/>
      <c r="G27" s="139"/>
      <c r="H27" s="140" t="s">
        <v>44</v>
      </c>
      <c r="I27" s="165"/>
      <c r="J27" s="166"/>
      <c r="K27" s="166"/>
      <c r="L27" s="167"/>
      <c r="M27" s="84" t="s">
        <v>45</v>
      </c>
      <c r="N27" s="67">
        <v>0</v>
      </c>
      <c r="O27" s="141">
        <v>46168</v>
      </c>
      <c r="P27" s="142">
        <v>46170</v>
      </c>
      <c r="Q27" s="66" t="s">
        <v>53</v>
      </c>
      <c r="R27" s="67">
        <v>0</v>
      </c>
      <c r="S27" s="141">
        <v>46188</v>
      </c>
      <c r="T27" s="142">
        <v>46190</v>
      </c>
      <c r="U27" s="66" t="s">
        <v>45</v>
      </c>
      <c r="V27" s="67">
        <v>0</v>
      </c>
      <c r="W27" s="141">
        <v>46213</v>
      </c>
      <c r="X27" s="142">
        <v>46216</v>
      </c>
      <c r="Y27" s="70"/>
      <c r="Z27" s="245"/>
      <c r="AA27" s="246"/>
      <c r="AB27" s="246"/>
      <c r="AC27" s="246"/>
      <c r="AD27" s="122"/>
      <c r="AE27" s="248"/>
      <c r="AF27" s="246"/>
      <c r="AG27" s="124"/>
      <c r="AH27" s="246"/>
      <c r="AI27" s="247"/>
      <c r="AJ27" s="248"/>
      <c r="AK27" s="262"/>
      <c r="AL27" s="262"/>
      <c r="AM27" s="246"/>
      <c r="AN27" s="247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 ht="16" customHeight="1">
      <c r="A28" s="65"/>
      <c r="B28" s="71"/>
      <c r="C28" s="136" t="s">
        <v>60</v>
      </c>
      <c r="D28" s="143"/>
      <c r="E28" s="139" t="s">
        <v>79</v>
      </c>
      <c r="F28" s="139"/>
      <c r="G28" s="139"/>
      <c r="H28" s="140" t="s">
        <v>44</v>
      </c>
      <c r="I28" s="165"/>
      <c r="J28" s="166"/>
      <c r="K28" s="166"/>
      <c r="L28" s="167"/>
      <c r="M28" s="84" t="s">
        <v>45</v>
      </c>
      <c r="N28" s="67">
        <v>0</v>
      </c>
      <c r="O28" s="141">
        <v>46168</v>
      </c>
      <c r="P28" s="142">
        <v>46170</v>
      </c>
      <c r="Q28" s="66" t="s">
        <v>53</v>
      </c>
      <c r="R28" s="67">
        <v>0</v>
      </c>
      <c r="S28" s="141">
        <v>46188</v>
      </c>
      <c r="T28" s="142">
        <v>46190</v>
      </c>
      <c r="U28" s="66" t="s">
        <v>45</v>
      </c>
      <c r="V28" s="67">
        <v>0</v>
      </c>
      <c r="W28" s="141">
        <v>46213</v>
      </c>
      <c r="X28" s="142">
        <v>46216</v>
      </c>
      <c r="Y28" s="70"/>
      <c r="Z28" s="245"/>
      <c r="AA28" s="246"/>
      <c r="AB28" s="246"/>
      <c r="AC28" s="246"/>
      <c r="AD28" s="122"/>
      <c r="AE28" s="248"/>
      <c r="AF28" s="246"/>
      <c r="AG28" s="124"/>
      <c r="AH28" s="246"/>
      <c r="AI28" s="247"/>
      <c r="AJ28" s="248"/>
      <c r="AK28" s="262"/>
      <c r="AL28" s="262"/>
      <c r="AM28" s="246"/>
      <c r="AN28" s="247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 ht="16" customHeight="1">
      <c r="A29" s="65"/>
      <c r="B29" s="71"/>
      <c r="C29" s="136" t="s">
        <v>60</v>
      </c>
      <c r="D29" s="143"/>
      <c r="E29" s="139" t="s">
        <v>80</v>
      </c>
      <c r="F29" s="139"/>
      <c r="G29" s="139"/>
      <c r="H29" s="140" t="s">
        <v>44</v>
      </c>
      <c r="I29" s="165" t="s">
        <v>81</v>
      </c>
      <c r="J29" s="166"/>
      <c r="K29" s="166"/>
      <c r="L29" s="167"/>
      <c r="M29" s="84" t="s">
        <v>45</v>
      </c>
      <c r="N29" s="67">
        <v>0</v>
      </c>
      <c r="O29" s="141">
        <v>46168</v>
      </c>
      <c r="P29" s="142">
        <v>46170</v>
      </c>
      <c r="Q29" s="66" t="s">
        <v>53</v>
      </c>
      <c r="R29" s="67">
        <v>0</v>
      </c>
      <c r="S29" s="141">
        <v>46188</v>
      </c>
      <c r="T29" s="142">
        <v>46190</v>
      </c>
      <c r="U29" s="66" t="s">
        <v>45</v>
      </c>
      <c r="V29" s="67">
        <v>0</v>
      </c>
      <c r="W29" s="141">
        <v>46213</v>
      </c>
      <c r="X29" s="142">
        <v>46216</v>
      </c>
      <c r="Y29" s="70"/>
      <c r="Z29" s="245"/>
      <c r="AA29" s="246"/>
      <c r="AB29" s="246"/>
      <c r="AC29" s="246"/>
      <c r="AD29" s="122"/>
      <c r="AE29" s="248"/>
      <c r="AF29" s="246"/>
      <c r="AG29" s="124"/>
      <c r="AH29" s="246"/>
      <c r="AI29" s="247"/>
      <c r="AJ29" s="248"/>
      <c r="AK29" s="262"/>
      <c r="AL29" s="262"/>
      <c r="AM29" s="246"/>
      <c r="AN29" s="247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 ht="16" customHeight="1">
      <c r="A30" s="65"/>
      <c r="B30" s="71"/>
      <c r="C30" s="136" t="s">
        <v>60</v>
      </c>
      <c r="D30" s="145"/>
      <c r="E30" s="139" t="s">
        <v>82</v>
      </c>
      <c r="F30" s="139"/>
      <c r="G30" s="139"/>
      <c r="H30" s="140" t="s">
        <v>44</v>
      </c>
      <c r="I30" s="165"/>
      <c r="J30" s="166"/>
      <c r="K30" s="166"/>
      <c r="L30" s="167"/>
      <c r="M30" s="84" t="s">
        <v>45</v>
      </c>
      <c r="N30" s="67">
        <v>0</v>
      </c>
      <c r="O30" s="141">
        <v>46168</v>
      </c>
      <c r="P30" s="142">
        <v>46170</v>
      </c>
      <c r="Q30" s="66" t="s">
        <v>53</v>
      </c>
      <c r="R30" s="67">
        <v>0</v>
      </c>
      <c r="S30" s="141">
        <v>46188</v>
      </c>
      <c r="T30" s="142">
        <v>46190</v>
      </c>
      <c r="U30" s="66" t="s">
        <v>45</v>
      </c>
      <c r="V30" s="67">
        <v>0</v>
      </c>
      <c r="W30" s="141">
        <v>46213</v>
      </c>
      <c r="X30" s="142">
        <v>46216</v>
      </c>
      <c r="Y30" s="70"/>
      <c r="Z30" s="245"/>
      <c r="AA30" s="246"/>
      <c r="AB30" s="246"/>
      <c r="AC30" s="246"/>
      <c r="AD30" s="122"/>
      <c r="AE30" s="248"/>
      <c r="AF30" s="246"/>
      <c r="AG30" s="124"/>
      <c r="AH30" s="246"/>
      <c r="AI30" s="247"/>
      <c r="AJ30" s="248"/>
      <c r="AK30" s="262"/>
      <c r="AL30" s="262"/>
      <c r="AM30" s="246"/>
      <c r="AN30" s="247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 ht="16" customHeight="1">
      <c r="A31" s="65"/>
      <c r="B31" s="71"/>
      <c r="C31" s="136" t="s">
        <v>60</v>
      </c>
      <c r="D31" s="145" t="s">
        <v>83</v>
      </c>
      <c r="E31" s="139" t="s">
        <v>84</v>
      </c>
      <c r="F31" s="139"/>
      <c r="G31" s="139"/>
      <c r="H31" s="140" t="s">
        <v>44</v>
      </c>
      <c r="I31" s="165" t="s">
        <v>85</v>
      </c>
      <c r="J31" s="166"/>
      <c r="K31" s="166"/>
      <c r="L31" s="167"/>
      <c r="M31" s="84" t="s">
        <v>45</v>
      </c>
      <c r="N31" s="67">
        <v>0</v>
      </c>
      <c r="O31" s="141">
        <v>46174</v>
      </c>
      <c r="P31" s="142">
        <v>46182</v>
      </c>
      <c r="Q31" s="66" t="s">
        <v>53</v>
      </c>
      <c r="R31" s="67">
        <v>0</v>
      </c>
      <c r="S31" s="141">
        <v>46195</v>
      </c>
      <c r="T31" s="142">
        <v>46206</v>
      </c>
      <c r="U31" s="66" t="s">
        <v>45</v>
      </c>
      <c r="V31" s="67">
        <v>0</v>
      </c>
      <c r="W31" s="141">
        <v>46216</v>
      </c>
      <c r="X31" s="142">
        <v>46219</v>
      </c>
      <c r="Y31" s="70"/>
      <c r="Z31" s="245"/>
      <c r="AA31" s="246"/>
      <c r="AB31" s="246"/>
      <c r="AC31" s="246"/>
      <c r="AD31" s="247"/>
      <c r="AE31" s="123"/>
      <c r="AF31" s="121"/>
      <c r="AG31" s="246"/>
      <c r="AH31" s="124"/>
      <c r="AI31" s="125"/>
      <c r="AJ31" s="126"/>
      <c r="AK31" s="246"/>
      <c r="AL31" s="263"/>
      <c r="AM31" s="246"/>
      <c r="AN31" s="247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 ht="16" customHeight="1">
      <c r="A32" s="65"/>
      <c r="B32" s="71"/>
      <c r="C32" s="136" t="s">
        <v>60</v>
      </c>
      <c r="D32" s="145"/>
      <c r="E32" s="139" t="s">
        <v>86</v>
      </c>
      <c r="F32" s="139"/>
      <c r="G32" s="139"/>
      <c r="H32" s="140" t="s">
        <v>44</v>
      </c>
      <c r="I32" s="165" t="s">
        <v>87</v>
      </c>
      <c r="J32" s="166"/>
      <c r="K32" s="166"/>
      <c r="L32" s="167"/>
      <c r="M32" s="84" t="s">
        <v>45</v>
      </c>
      <c r="N32" s="67">
        <v>0</v>
      </c>
      <c r="O32" s="141">
        <v>46174</v>
      </c>
      <c r="P32" s="142">
        <v>46182</v>
      </c>
      <c r="Q32" s="66" t="s">
        <v>53</v>
      </c>
      <c r="R32" s="67">
        <v>0</v>
      </c>
      <c r="S32" s="141">
        <v>46195</v>
      </c>
      <c r="T32" s="142">
        <v>46206</v>
      </c>
      <c r="U32" s="66" t="s">
        <v>45</v>
      </c>
      <c r="V32" s="67">
        <v>0</v>
      </c>
      <c r="W32" s="141">
        <v>46216</v>
      </c>
      <c r="X32" s="142">
        <v>46219</v>
      </c>
      <c r="Y32" s="70"/>
      <c r="Z32" s="245"/>
      <c r="AA32" s="246"/>
      <c r="AB32" s="246"/>
      <c r="AC32" s="246"/>
      <c r="AD32" s="247"/>
      <c r="AE32" s="123"/>
      <c r="AF32" s="121"/>
      <c r="AG32" s="246"/>
      <c r="AH32" s="124"/>
      <c r="AI32" s="125"/>
      <c r="AJ32" s="126"/>
      <c r="AK32" s="246"/>
      <c r="AL32" s="263"/>
      <c r="AM32" s="246"/>
      <c r="AN32" s="247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 ht="16" customHeight="1">
      <c r="A33" s="74"/>
      <c r="B33" s="71"/>
      <c r="C33" s="136" t="s">
        <v>64</v>
      </c>
      <c r="D33" s="146"/>
      <c r="E33" s="139" t="s">
        <v>86</v>
      </c>
      <c r="F33" s="139" t="s">
        <v>88</v>
      </c>
      <c r="G33" s="139"/>
      <c r="H33" s="140" t="s">
        <v>44</v>
      </c>
      <c r="I33" s="165" t="s">
        <v>89</v>
      </c>
      <c r="J33" s="166"/>
      <c r="K33" s="166"/>
      <c r="L33" s="167"/>
      <c r="M33" s="84" t="s">
        <v>45</v>
      </c>
      <c r="N33" s="67">
        <v>0</v>
      </c>
      <c r="O33" s="141">
        <v>46174</v>
      </c>
      <c r="P33" s="142">
        <v>46182</v>
      </c>
      <c r="Q33" s="66" t="s">
        <v>53</v>
      </c>
      <c r="R33" s="67">
        <v>0</v>
      </c>
      <c r="S33" s="141">
        <v>46195</v>
      </c>
      <c r="T33" s="142">
        <v>46206</v>
      </c>
      <c r="U33" s="66" t="s">
        <v>45</v>
      </c>
      <c r="V33" s="67">
        <v>0</v>
      </c>
      <c r="W33" s="141">
        <v>46216</v>
      </c>
      <c r="X33" s="142">
        <v>46219</v>
      </c>
      <c r="Y33" s="70"/>
      <c r="Z33" s="245"/>
      <c r="AA33" s="246"/>
      <c r="AB33" s="246"/>
      <c r="AC33" s="246"/>
      <c r="AD33" s="247"/>
      <c r="AE33" s="123"/>
      <c r="AF33" s="121"/>
      <c r="AG33" s="246"/>
      <c r="AH33" s="124"/>
      <c r="AI33" s="125"/>
      <c r="AJ33" s="126"/>
      <c r="AK33" s="246"/>
      <c r="AL33" s="263"/>
      <c r="AM33" s="246"/>
      <c r="AN33" s="247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 ht="16" customHeight="1">
      <c r="A34" s="65"/>
      <c r="B34" s="71"/>
      <c r="C34" s="136" t="s">
        <v>64</v>
      </c>
      <c r="D34" s="146"/>
      <c r="E34" s="139" t="s">
        <v>86</v>
      </c>
      <c r="F34" s="139" t="s">
        <v>90</v>
      </c>
      <c r="G34" s="139"/>
      <c r="H34" s="140" t="s">
        <v>44</v>
      </c>
      <c r="I34" s="165" t="s">
        <v>91</v>
      </c>
      <c r="J34" s="166"/>
      <c r="K34" s="166"/>
      <c r="L34" s="167"/>
      <c r="M34" s="84" t="s">
        <v>45</v>
      </c>
      <c r="N34" s="67">
        <v>0</v>
      </c>
      <c r="O34" s="141">
        <v>46174</v>
      </c>
      <c r="P34" s="142">
        <v>46182</v>
      </c>
      <c r="Q34" s="66" t="s">
        <v>53</v>
      </c>
      <c r="R34" s="67">
        <v>0</v>
      </c>
      <c r="S34" s="141">
        <v>46195</v>
      </c>
      <c r="T34" s="142">
        <v>46206</v>
      </c>
      <c r="U34" s="66" t="s">
        <v>45</v>
      </c>
      <c r="V34" s="67">
        <v>0</v>
      </c>
      <c r="W34" s="141">
        <v>46216</v>
      </c>
      <c r="X34" s="142">
        <v>46219</v>
      </c>
      <c r="Y34" s="70"/>
      <c r="Z34" s="245"/>
      <c r="AA34" s="246"/>
      <c r="AB34" s="246"/>
      <c r="AC34" s="246"/>
      <c r="AD34" s="247"/>
      <c r="AE34" s="123"/>
      <c r="AF34" s="121"/>
      <c r="AG34" s="246"/>
      <c r="AH34" s="124"/>
      <c r="AI34" s="125"/>
      <c r="AJ34" s="126"/>
      <c r="AK34" s="246"/>
      <c r="AL34" s="263"/>
      <c r="AM34" s="246"/>
      <c r="AN34" s="247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 ht="16" customHeight="1">
      <c r="A35" s="65"/>
      <c r="B35" s="71"/>
      <c r="C35" s="136" t="s">
        <v>64</v>
      </c>
      <c r="D35" s="147"/>
      <c r="E35" s="139" t="s">
        <v>86</v>
      </c>
      <c r="F35" s="139" t="s">
        <v>92</v>
      </c>
      <c r="G35" s="139"/>
      <c r="H35" s="140" t="s">
        <v>44</v>
      </c>
      <c r="I35" s="165" t="s">
        <v>93</v>
      </c>
      <c r="J35" s="166"/>
      <c r="K35" s="166"/>
      <c r="L35" s="167"/>
      <c r="M35" s="84" t="s">
        <v>45</v>
      </c>
      <c r="N35" s="67">
        <v>0</v>
      </c>
      <c r="O35" s="141">
        <v>46174</v>
      </c>
      <c r="P35" s="142">
        <v>46182</v>
      </c>
      <c r="Q35" s="66" t="s">
        <v>53</v>
      </c>
      <c r="R35" s="67">
        <v>0</v>
      </c>
      <c r="S35" s="141">
        <v>46195</v>
      </c>
      <c r="T35" s="142">
        <v>46206</v>
      </c>
      <c r="U35" s="66" t="s">
        <v>45</v>
      </c>
      <c r="V35" s="67">
        <v>0</v>
      </c>
      <c r="W35" s="141">
        <v>46216</v>
      </c>
      <c r="X35" s="142">
        <v>46219</v>
      </c>
      <c r="Y35" s="70"/>
      <c r="Z35" s="245"/>
      <c r="AA35" s="246"/>
      <c r="AB35" s="246"/>
      <c r="AC35" s="246"/>
      <c r="AD35" s="247"/>
      <c r="AE35" s="123"/>
      <c r="AF35" s="121"/>
      <c r="AG35" s="246"/>
      <c r="AH35" s="124"/>
      <c r="AI35" s="125"/>
      <c r="AJ35" s="126"/>
      <c r="AK35" s="246"/>
      <c r="AL35" s="263"/>
      <c r="AM35" s="246"/>
      <c r="AN35" s="247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 ht="16" customHeight="1">
      <c r="A36" s="65"/>
      <c r="B36" s="71"/>
      <c r="C36" s="136" t="s">
        <v>64</v>
      </c>
      <c r="D36" s="147"/>
      <c r="E36" s="139" t="s">
        <v>86</v>
      </c>
      <c r="F36" s="139" t="s">
        <v>94</v>
      </c>
      <c r="G36" s="139"/>
      <c r="H36" s="140" t="s">
        <v>44</v>
      </c>
      <c r="I36" s="165"/>
      <c r="J36" s="166"/>
      <c r="K36" s="166"/>
      <c r="L36" s="167"/>
      <c r="M36" s="84" t="s">
        <v>45</v>
      </c>
      <c r="N36" s="67">
        <v>0</v>
      </c>
      <c r="O36" s="141">
        <v>46174</v>
      </c>
      <c r="P36" s="142">
        <v>46182</v>
      </c>
      <c r="Q36" s="66" t="s">
        <v>53</v>
      </c>
      <c r="R36" s="67">
        <v>0</v>
      </c>
      <c r="S36" s="141">
        <v>46195</v>
      </c>
      <c r="T36" s="142">
        <v>46206</v>
      </c>
      <c r="U36" s="66" t="s">
        <v>45</v>
      </c>
      <c r="V36" s="67">
        <v>0</v>
      </c>
      <c r="W36" s="141">
        <v>46216</v>
      </c>
      <c r="X36" s="142">
        <v>46219</v>
      </c>
      <c r="Y36" s="70"/>
      <c r="Z36" s="245"/>
      <c r="AA36" s="246"/>
      <c r="AB36" s="246"/>
      <c r="AC36" s="246"/>
      <c r="AD36" s="247"/>
      <c r="AE36" s="123"/>
      <c r="AF36" s="121"/>
      <c r="AG36" s="246"/>
      <c r="AH36" s="124"/>
      <c r="AI36" s="125"/>
      <c r="AJ36" s="126"/>
      <c r="AK36" s="246"/>
      <c r="AL36" s="263"/>
      <c r="AM36" s="246"/>
      <c r="AN36" s="247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 ht="16" customHeight="1">
      <c r="A37" s="65"/>
      <c r="B37" s="71"/>
      <c r="C37" s="136" t="s">
        <v>95</v>
      </c>
      <c r="D37" s="147"/>
      <c r="E37" s="139" t="s">
        <v>86</v>
      </c>
      <c r="F37" s="139" t="s">
        <v>96</v>
      </c>
      <c r="G37" s="139"/>
      <c r="H37" s="140" t="s">
        <v>44</v>
      </c>
      <c r="I37" s="165" t="s">
        <v>97</v>
      </c>
      <c r="J37" s="166"/>
      <c r="K37" s="166"/>
      <c r="L37" s="167"/>
      <c r="M37" s="84" t="s">
        <v>45</v>
      </c>
      <c r="N37" s="67">
        <v>0</v>
      </c>
      <c r="O37" s="141">
        <v>46174</v>
      </c>
      <c r="P37" s="142">
        <v>46182</v>
      </c>
      <c r="Q37" s="66" t="s">
        <v>53</v>
      </c>
      <c r="R37" s="67">
        <v>0</v>
      </c>
      <c r="S37" s="141">
        <v>46195</v>
      </c>
      <c r="T37" s="142">
        <v>46206</v>
      </c>
      <c r="U37" s="66" t="s">
        <v>45</v>
      </c>
      <c r="V37" s="67">
        <v>0</v>
      </c>
      <c r="W37" s="141">
        <v>46216</v>
      </c>
      <c r="X37" s="142">
        <v>46219</v>
      </c>
      <c r="Y37" s="70"/>
      <c r="Z37" s="245"/>
      <c r="AA37" s="246"/>
      <c r="AB37" s="246"/>
      <c r="AC37" s="246"/>
      <c r="AD37" s="247"/>
      <c r="AE37" s="123"/>
      <c r="AF37" s="121"/>
      <c r="AG37" s="246"/>
      <c r="AH37" s="124"/>
      <c r="AI37" s="125"/>
      <c r="AJ37" s="126"/>
      <c r="AK37" s="246"/>
      <c r="AL37" s="263"/>
      <c r="AM37" s="246"/>
      <c r="AN37" s="247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 ht="16" customHeight="1">
      <c r="A38" s="65"/>
      <c r="B38" s="71"/>
      <c r="C38" s="136" t="s">
        <v>60</v>
      </c>
      <c r="D38" s="147"/>
      <c r="E38" s="139" t="s">
        <v>98</v>
      </c>
      <c r="F38" s="139"/>
      <c r="G38" s="139"/>
      <c r="H38" s="140" t="s">
        <v>44</v>
      </c>
      <c r="I38" s="165" t="s">
        <v>99</v>
      </c>
      <c r="J38" s="166"/>
      <c r="K38" s="166"/>
      <c r="L38" s="167"/>
      <c r="M38" s="84" t="s">
        <v>45</v>
      </c>
      <c r="N38" s="67">
        <v>0</v>
      </c>
      <c r="O38" s="141">
        <v>46174</v>
      </c>
      <c r="P38" s="142">
        <v>46182</v>
      </c>
      <c r="Q38" s="66" t="s">
        <v>53</v>
      </c>
      <c r="R38" s="67">
        <v>0</v>
      </c>
      <c r="S38" s="141">
        <v>46195</v>
      </c>
      <c r="T38" s="142">
        <v>46206</v>
      </c>
      <c r="U38" s="66" t="s">
        <v>45</v>
      </c>
      <c r="V38" s="67">
        <v>0</v>
      </c>
      <c r="W38" s="141">
        <v>46216</v>
      </c>
      <c r="X38" s="142">
        <v>46219</v>
      </c>
      <c r="Y38" s="70"/>
      <c r="Z38" s="245"/>
      <c r="AA38" s="246"/>
      <c r="AB38" s="246"/>
      <c r="AC38" s="246"/>
      <c r="AD38" s="247"/>
      <c r="AE38" s="123"/>
      <c r="AF38" s="121"/>
      <c r="AG38" s="246"/>
      <c r="AH38" s="124"/>
      <c r="AI38" s="125"/>
      <c r="AJ38" s="126"/>
      <c r="AK38" s="246"/>
      <c r="AL38" s="263"/>
      <c r="AM38" s="246"/>
      <c r="AN38" s="247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 ht="16" customHeight="1">
      <c r="A39" s="65"/>
      <c r="B39" s="71"/>
      <c r="C39" s="136" t="s">
        <v>49</v>
      </c>
      <c r="D39" s="147"/>
      <c r="E39" s="148" t="s">
        <v>98</v>
      </c>
      <c r="F39" s="139" t="s">
        <v>100</v>
      </c>
      <c r="G39" s="139"/>
      <c r="H39" s="140" t="s">
        <v>44</v>
      </c>
      <c r="I39" s="165" t="s">
        <v>101</v>
      </c>
      <c r="J39" s="166"/>
      <c r="K39" s="166"/>
      <c r="L39" s="167"/>
      <c r="M39" s="84" t="s">
        <v>45</v>
      </c>
      <c r="N39" s="67">
        <v>0</v>
      </c>
      <c r="O39" s="141">
        <v>46174</v>
      </c>
      <c r="P39" s="142">
        <v>46182</v>
      </c>
      <c r="Q39" s="66" t="s">
        <v>53</v>
      </c>
      <c r="R39" s="67">
        <v>0</v>
      </c>
      <c r="S39" s="141">
        <v>46195</v>
      </c>
      <c r="T39" s="142">
        <v>46206</v>
      </c>
      <c r="U39" s="66" t="s">
        <v>45</v>
      </c>
      <c r="V39" s="67">
        <v>0</v>
      </c>
      <c r="W39" s="141">
        <v>46216</v>
      </c>
      <c r="X39" s="142">
        <v>46219</v>
      </c>
      <c r="Y39" s="70"/>
      <c r="Z39" s="245"/>
      <c r="AA39" s="246"/>
      <c r="AB39" s="246"/>
      <c r="AC39" s="246"/>
      <c r="AD39" s="247"/>
      <c r="AE39" s="123"/>
      <c r="AF39" s="121"/>
      <c r="AG39" s="246"/>
      <c r="AH39" s="124"/>
      <c r="AI39" s="125"/>
      <c r="AJ39" s="126"/>
      <c r="AK39" s="246"/>
      <c r="AL39" s="263"/>
      <c r="AM39" s="246"/>
      <c r="AN39" s="247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 ht="16" customHeight="1">
      <c r="A40" s="74"/>
      <c r="B40" s="71"/>
      <c r="C40" s="136" t="s">
        <v>64</v>
      </c>
      <c r="D40" s="147"/>
      <c r="E40" s="148" t="s">
        <v>98</v>
      </c>
      <c r="F40" s="139" t="s">
        <v>102</v>
      </c>
      <c r="G40" s="139"/>
      <c r="H40" s="140" t="s">
        <v>44</v>
      </c>
      <c r="I40" s="165"/>
      <c r="J40" s="166"/>
      <c r="K40" s="166"/>
      <c r="L40" s="167"/>
      <c r="M40" s="84" t="s">
        <v>45</v>
      </c>
      <c r="N40" s="67">
        <v>0</v>
      </c>
      <c r="O40" s="141">
        <v>46174</v>
      </c>
      <c r="P40" s="142">
        <v>46182</v>
      </c>
      <c r="Q40" s="66" t="s">
        <v>53</v>
      </c>
      <c r="R40" s="67">
        <v>0</v>
      </c>
      <c r="S40" s="141">
        <v>46195</v>
      </c>
      <c r="T40" s="142">
        <v>46206</v>
      </c>
      <c r="U40" s="66" t="s">
        <v>45</v>
      </c>
      <c r="V40" s="67">
        <v>0</v>
      </c>
      <c r="W40" s="141">
        <v>46216</v>
      </c>
      <c r="X40" s="142">
        <v>46219</v>
      </c>
      <c r="Y40" s="70"/>
      <c r="Z40" s="245"/>
      <c r="AA40" s="246"/>
      <c r="AB40" s="246"/>
      <c r="AC40" s="246"/>
      <c r="AD40" s="247"/>
      <c r="AE40" s="123"/>
      <c r="AF40" s="121"/>
      <c r="AG40" s="246"/>
      <c r="AH40" s="124"/>
      <c r="AI40" s="125"/>
      <c r="AJ40" s="126"/>
      <c r="AK40" s="246"/>
      <c r="AL40" s="263"/>
      <c r="AM40" s="246"/>
      <c r="AN40" s="247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 ht="16" customHeight="1">
      <c r="A41" s="102"/>
      <c r="B41" s="71"/>
      <c r="C41" s="136" t="s">
        <v>95</v>
      </c>
      <c r="D41" s="147"/>
      <c r="E41" s="148" t="s">
        <v>98</v>
      </c>
      <c r="F41" s="139" t="s">
        <v>103</v>
      </c>
      <c r="G41" s="139"/>
      <c r="H41" s="140" t="s">
        <v>44</v>
      </c>
      <c r="I41" s="165" t="s">
        <v>104</v>
      </c>
      <c r="J41" s="166"/>
      <c r="K41" s="166"/>
      <c r="L41" s="167"/>
      <c r="M41" s="84" t="s">
        <v>45</v>
      </c>
      <c r="N41" s="67">
        <v>0</v>
      </c>
      <c r="O41" s="141">
        <v>46174</v>
      </c>
      <c r="P41" s="142">
        <v>46182</v>
      </c>
      <c r="Q41" s="66" t="s">
        <v>53</v>
      </c>
      <c r="R41" s="67">
        <v>0</v>
      </c>
      <c r="S41" s="141">
        <v>46195</v>
      </c>
      <c r="T41" s="142">
        <v>46206</v>
      </c>
      <c r="U41" s="66" t="s">
        <v>45</v>
      </c>
      <c r="V41" s="67">
        <v>0</v>
      </c>
      <c r="W41" s="141">
        <v>46216</v>
      </c>
      <c r="X41" s="142">
        <v>46219</v>
      </c>
      <c r="Y41" s="70"/>
      <c r="Z41" s="245"/>
      <c r="AA41" s="246"/>
      <c r="AB41" s="246"/>
      <c r="AC41" s="246"/>
      <c r="AD41" s="247"/>
      <c r="AE41" s="123"/>
      <c r="AF41" s="121"/>
      <c r="AG41" s="246"/>
      <c r="AH41" s="124"/>
      <c r="AI41" s="125"/>
      <c r="AJ41" s="126"/>
      <c r="AK41" s="246"/>
      <c r="AL41" s="263"/>
      <c r="AM41" s="246"/>
      <c r="AN41" s="247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 ht="16" customHeight="1">
      <c r="A42" s="102"/>
      <c r="B42" s="71"/>
      <c r="C42" s="136" t="s">
        <v>60</v>
      </c>
      <c r="D42" s="147"/>
      <c r="E42" s="139" t="s">
        <v>105</v>
      </c>
      <c r="F42" s="139"/>
      <c r="G42" s="139"/>
      <c r="H42" s="140" t="s">
        <v>44</v>
      </c>
      <c r="I42" s="165" t="s">
        <v>106</v>
      </c>
      <c r="J42" s="166"/>
      <c r="K42" s="166"/>
      <c r="L42" s="167"/>
      <c r="M42" s="84" t="s">
        <v>45</v>
      </c>
      <c r="N42" s="67">
        <v>0</v>
      </c>
      <c r="O42" s="141">
        <v>46174</v>
      </c>
      <c r="P42" s="142">
        <v>46182</v>
      </c>
      <c r="Q42" s="66" t="s">
        <v>53</v>
      </c>
      <c r="R42" s="67">
        <v>0</v>
      </c>
      <c r="S42" s="141">
        <v>46195</v>
      </c>
      <c r="T42" s="142">
        <v>46206</v>
      </c>
      <c r="U42" s="66" t="s">
        <v>45</v>
      </c>
      <c r="V42" s="67">
        <v>0</v>
      </c>
      <c r="W42" s="141">
        <v>46216</v>
      </c>
      <c r="X42" s="142">
        <v>46219</v>
      </c>
      <c r="Y42" s="70"/>
      <c r="Z42" s="245"/>
      <c r="AA42" s="246"/>
      <c r="AB42" s="246"/>
      <c r="AC42" s="246"/>
      <c r="AD42" s="247"/>
      <c r="AE42" s="123"/>
      <c r="AF42" s="121"/>
      <c r="AG42" s="246"/>
      <c r="AH42" s="124"/>
      <c r="AI42" s="125"/>
      <c r="AJ42" s="126"/>
      <c r="AK42" s="246"/>
      <c r="AL42" s="263"/>
      <c r="AM42" s="246"/>
      <c r="AN42" s="247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 ht="16" customHeight="1">
      <c r="A43" s="102"/>
      <c r="B43" s="71"/>
      <c r="C43" s="136" t="s">
        <v>64</v>
      </c>
      <c r="D43" s="147"/>
      <c r="E43" s="139" t="s">
        <v>105</v>
      </c>
      <c r="F43" s="139" t="s">
        <v>107</v>
      </c>
      <c r="G43" s="139"/>
      <c r="H43" s="140" t="s">
        <v>44</v>
      </c>
      <c r="I43" s="165" t="s">
        <v>108</v>
      </c>
      <c r="J43" s="166"/>
      <c r="K43" s="166"/>
      <c r="L43" s="167"/>
      <c r="M43" s="84" t="s">
        <v>45</v>
      </c>
      <c r="N43" s="67">
        <v>0</v>
      </c>
      <c r="O43" s="141">
        <v>46174</v>
      </c>
      <c r="P43" s="142">
        <v>46182</v>
      </c>
      <c r="Q43" s="66" t="s">
        <v>53</v>
      </c>
      <c r="R43" s="67">
        <v>0</v>
      </c>
      <c r="S43" s="141">
        <v>46195</v>
      </c>
      <c r="T43" s="142">
        <v>46206</v>
      </c>
      <c r="U43" s="66" t="s">
        <v>45</v>
      </c>
      <c r="V43" s="67">
        <v>0</v>
      </c>
      <c r="W43" s="141">
        <v>46216</v>
      </c>
      <c r="X43" s="142">
        <v>46219</v>
      </c>
      <c r="Y43" s="70"/>
      <c r="Z43" s="245"/>
      <c r="AA43" s="246"/>
      <c r="AB43" s="246"/>
      <c r="AC43" s="246"/>
      <c r="AD43" s="247"/>
      <c r="AE43" s="123"/>
      <c r="AF43" s="121"/>
      <c r="AG43" s="246"/>
      <c r="AH43" s="124"/>
      <c r="AI43" s="125"/>
      <c r="AJ43" s="126"/>
      <c r="AK43" s="246"/>
      <c r="AL43" s="263"/>
      <c r="AM43" s="246"/>
      <c r="AN43" s="247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 ht="16" customHeight="1">
      <c r="A44" s="102"/>
      <c r="B44" s="71"/>
      <c r="C44" s="136" t="s">
        <v>64</v>
      </c>
      <c r="D44" s="149"/>
      <c r="E44" s="139" t="s">
        <v>105</v>
      </c>
      <c r="F44" s="139" t="s">
        <v>109</v>
      </c>
      <c r="G44" s="139"/>
      <c r="H44" s="140" t="s">
        <v>44</v>
      </c>
      <c r="I44" s="165" t="s">
        <v>110</v>
      </c>
      <c r="J44" s="166"/>
      <c r="K44" s="166"/>
      <c r="L44" s="167"/>
      <c r="M44" s="84" t="s">
        <v>45</v>
      </c>
      <c r="N44" s="67">
        <v>0</v>
      </c>
      <c r="O44" s="141">
        <v>46174</v>
      </c>
      <c r="P44" s="142">
        <v>46182</v>
      </c>
      <c r="Q44" s="66" t="s">
        <v>53</v>
      </c>
      <c r="R44" s="67">
        <v>0</v>
      </c>
      <c r="S44" s="141">
        <v>46195</v>
      </c>
      <c r="T44" s="142">
        <v>46206</v>
      </c>
      <c r="U44" s="66" t="s">
        <v>45</v>
      </c>
      <c r="V44" s="67">
        <v>0</v>
      </c>
      <c r="W44" s="141">
        <v>46216</v>
      </c>
      <c r="X44" s="142">
        <v>46219</v>
      </c>
      <c r="Y44" s="70"/>
      <c r="Z44" s="245"/>
      <c r="AA44" s="246"/>
      <c r="AB44" s="246"/>
      <c r="AC44" s="246"/>
      <c r="AD44" s="247"/>
      <c r="AE44" s="123"/>
      <c r="AF44" s="121"/>
      <c r="AG44" s="246"/>
      <c r="AH44" s="124"/>
      <c r="AI44" s="125"/>
      <c r="AJ44" s="126"/>
      <c r="AK44" s="246"/>
      <c r="AL44" s="263"/>
      <c r="AM44" s="246"/>
      <c r="AN44" s="247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 ht="16" customHeight="1">
      <c r="A45" s="102"/>
      <c r="B45" s="71"/>
      <c r="C45" s="136" t="s">
        <v>49</v>
      </c>
      <c r="D45" s="149"/>
      <c r="E45" s="139" t="s">
        <v>105</v>
      </c>
      <c r="F45" s="139" t="s">
        <v>111</v>
      </c>
      <c r="G45" s="139"/>
      <c r="H45" s="140" t="s">
        <v>44</v>
      </c>
      <c r="I45" s="165" t="s">
        <v>112</v>
      </c>
      <c r="J45" s="166"/>
      <c r="K45" s="166"/>
      <c r="L45" s="167"/>
      <c r="M45" s="84" t="s">
        <v>45</v>
      </c>
      <c r="N45" s="67">
        <v>0</v>
      </c>
      <c r="O45" s="141">
        <v>46174</v>
      </c>
      <c r="P45" s="142">
        <v>46182</v>
      </c>
      <c r="Q45" s="66" t="s">
        <v>53</v>
      </c>
      <c r="R45" s="67">
        <v>0</v>
      </c>
      <c r="S45" s="141">
        <v>46195</v>
      </c>
      <c r="T45" s="142">
        <v>46206</v>
      </c>
      <c r="U45" s="66" t="s">
        <v>45</v>
      </c>
      <c r="V45" s="67">
        <v>0</v>
      </c>
      <c r="W45" s="141">
        <v>46216</v>
      </c>
      <c r="X45" s="142">
        <v>46219</v>
      </c>
      <c r="Y45" s="70"/>
      <c r="Z45" s="245"/>
      <c r="AA45" s="246"/>
      <c r="AB45" s="246"/>
      <c r="AC45" s="246"/>
      <c r="AD45" s="247"/>
      <c r="AE45" s="123"/>
      <c r="AF45" s="121"/>
      <c r="AG45" s="246"/>
      <c r="AH45" s="124"/>
      <c r="AI45" s="125"/>
      <c r="AJ45" s="126"/>
      <c r="AK45" s="246"/>
      <c r="AL45" s="263"/>
      <c r="AM45" s="246"/>
      <c r="AN45" s="247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 ht="16" customHeight="1">
      <c r="A46" s="102"/>
      <c r="B46" s="71"/>
      <c r="C46" s="136" t="s">
        <v>49</v>
      </c>
      <c r="D46" s="149"/>
      <c r="E46" s="139" t="s">
        <v>105</v>
      </c>
      <c r="F46" s="139" t="s">
        <v>113</v>
      </c>
      <c r="G46" s="139"/>
      <c r="H46" s="140" t="s">
        <v>44</v>
      </c>
      <c r="I46" s="165"/>
      <c r="J46" s="166"/>
      <c r="K46" s="166"/>
      <c r="L46" s="167"/>
      <c r="M46" s="84" t="s">
        <v>45</v>
      </c>
      <c r="N46" s="67">
        <v>0</v>
      </c>
      <c r="O46" s="141">
        <v>46174</v>
      </c>
      <c r="P46" s="142">
        <v>46182</v>
      </c>
      <c r="Q46" s="66" t="s">
        <v>53</v>
      </c>
      <c r="R46" s="67">
        <v>0</v>
      </c>
      <c r="S46" s="141">
        <v>46195</v>
      </c>
      <c r="T46" s="142">
        <v>46206</v>
      </c>
      <c r="U46" s="66" t="s">
        <v>45</v>
      </c>
      <c r="V46" s="67">
        <v>0</v>
      </c>
      <c r="W46" s="141">
        <v>46216</v>
      </c>
      <c r="X46" s="142">
        <v>46219</v>
      </c>
      <c r="Y46" s="70"/>
      <c r="Z46" s="245"/>
      <c r="AA46" s="246"/>
      <c r="AB46" s="246"/>
      <c r="AC46" s="246"/>
      <c r="AD46" s="247"/>
      <c r="AE46" s="123"/>
      <c r="AF46" s="121"/>
      <c r="AG46" s="246"/>
      <c r="AH46" s="124"/>
      <c r="AI46" s="125"/>
      <c r="AJ46" s="126"/>
      <c r="AK46" s="246"/>
      <c r="AL46" s="263"/>
      <c r="AM46" s="246"/>
      <c r="AN46" s="247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 ht="16" customHeight="1">
      <c r="A47" s="102"/>
      <c r="B47" s="71"/>
      <c r="C47" s="136" t="s">
        <v>60</v>
      </c>
      <c r="D47" s="149" t="s">
        <v>114</v>
      </c>
      <c r="E47" s="139" t="s">
        <v>115</v>
      </c>
      <c r="F47" s="139"/>
      <c r="G47" s="139"/>
      <c r="H47" s="140" t="s">
        <v>44</v>
      </c>
      <c r="I47" s="165" t="s">
        <v>116</v>
      </c>
      <c r="J47" s="166"/>
      <c r="K47" s="166"/>
      <c r="L47" s="167"/>
      <c r="M47" s="84" t="s">
        <v>45</v>
      </c>
      <c r="N47" s="67">
        <v>0</v>
      </c>
      <c r="O47" s="141">
        <v>46176</v>
      </c>
      <c r="P47" s="142">
        <v>46182</v>
      </c>
      <c r="Q47" s="66" t="s">
        <v>53</v>
      </c>
      <c r="R47" s="67">
        <v>0</v>
      </c>
      <c r="S47" s="141">
        <v>46195</v>
      </c>
      <c r="T47" s="142">
        <v>46205</v>
      </c>
      <c r="U47" s="66" t="s">
        <v>45</v>
      </c>
      <c r="V47" s="67">
        <v>0</v>
      </c>
      <c r="W47" s="141">
        <v>46216</v>
      </c>
      <c r="X47" s="142">
        <v>46219</v>
      </c>
      <c r="Y47" s="70"/>
      <c r="Z47" s="245"/>
      <c r="AA47" s="246"/>
      <c r="AB47" s="246"/>
      <c r="AC47" s="246"/>
      <c r="AD47" s="247"/>
      <c r="AE47" s="123"/>
      <c r="AF47" s="121"/>
      <c r="AG47" s="246"/>
      <c r="AH47" s="124"/>
      <c r="AI47" s="125"/>
      <c r="AJ47" s="126"/>
      <c r="AK47" s="246"/>
      <c r="AL47" s="263"/>
      <c r="AM47" s="246"/>
      <c r="AN47" s="247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 ht="16" customHeight="1">
      <c r="A48" s="102"/>
      <c r="B48" s="71"/>
      <c r="C48" s="136" t="s">
        <v>64</v>
      </c>
      <c r="D48" s="149"/>
      <c r="E48" s="139" t="s">
        <v>115</v>
      </c>
      <c r="F48" s="139" t="s">
        <v>117</v>
      </c>
      <c r="G48" s="139"/>
      <c r="H48" s="140" t="s">
        <v>44</v>
      </c>
      <c r="I48" s="165"/>
      <c r="J48" s="166"/>
      <c r="K48" s="166"/>
      <c r="L48" s="167"/>
      <c r="M48" s="84" t="s">
        <v>45</v>
      </c>
      <c r="N48" s="67">
        <v>0</v>
      </c>
      <c r="O48" s="141">
        <v>46176</v>
      </c>
      <c r="P48" s="142">
        <v>46182</v>
      </c>
      <c r="Q48" s="66" t="s">
        <v>53</v>
      </c>
      <c r="R48" s="67">
        <v>0</v>
      </c>
      <c r="S48" s="141">
        <v>46195</v>
      </c>
      <c r="T48" s="142">
        <v>46205</v>
      </c>
      <c r="U48" s="66" t="s">
        <v>45</v>
      </c>
      <c r="V48" s="67">
        <v>0</v>
      </c>
      <c r="W48" s="141">
        <v>46216</v>
      </c>
      <c r="X48" s="142">
        <v>46219</v>
      </c>
      <c r="Y48" s="70"/>
      <c r="Z48" s="245"/>
      <c r="AA48" s="246"/>
      <c r="AB48" s="246"/>
      <c r="AC48" s="246"/>
      <c r="AD48" s="247"/>
      <c r="AE48" s="123"/>
      <c r="AF48" s="121"/>
      <c r="AG48" s="246"/>
      <c r="AH48" s="124"/>
      <c r="AI48" s="125"/>
      <c r="AJ48" s="126"/>
      <c r="AK48" s="246"/>
      <c r="AL48" s="263"/>
      <c r="AM48" s="246"/>
      <c r="AN48" s="247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 ht="16" customHeight="1">
      <c r="A49" s="102"/>
      <c r="B49" s="71"/>
      <c r="C49" s="136" t="s">
        <v>64</v>
      </c>
      <c r="D49" s="149"/>
      <c r="E49" s="139" t="s">
        <v>115</v>
      </c>
      <c r="F49" s="139" t="s">
        <v>118</v>
      </c>
      <c r="G49" s="139"/>
      <c r="H49" s="140" t="s">
        <v>44</v>
      </c>
      <c r="I49" s="165"/>
      <c r="J49" s="166"/>
      <c r="K49" s="166"/>
      <c r="L49" s="167"/>
      <c r="M49" s="84" t="s">
        <v>45</v>
      </c>
      <c r="N49" s="67">
        <v>0</v>
      </c>
      <c r="O49" s="141">
        <v>46176</v>
      </c>
      <c r="P49" s="142">
        <v>46182</v>
      </c>
      <c r="Q49" s="66" t="s">
        <v>53</v>
      </c>
      <c r="R49" s="67">
        <v>0</v>
      </c>
      <c r="S49" s="141">
        <v>46195</v>
      </c>
      <c r="T49" s="142">
        <v>46205</v>
      </c>
      <c r="U49" s="66" t="s">
        <v>45</v>
      </c>
      <c r="V49" s="67">
        <v>0</v>
      </c>
      <c r="W49" s="141">
        <v>46216</v>
      </c>
      <c r="X49" s="142">
        <v>46219</v>
      </c>
      <c r="Y49" s="70"/>
      <c r="Z49" s="245"/>
      <c r="AA49" s="246"/>
      <c r="AB49" s="246"/>
      <c r="AC49" s="246"/>
      <c r="AD49" s="247"/>
      <c r="AE49" s="123"/>
      <c r="AF49" s="121"/>
      <c r="AG49" s="246"/>
      <c r="AH49" s="124"/>
      <c r="AI49" s="125"/>
      <c r="AJ49" s="126"/>
      <c r="AK49" s="246"/>
      <c r="AL49" s="263"/>
      <c r="AM49" s="246"/>
      <c r="AN49" s="247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 ht="16" customHeight="1">
      <c r="A50" s="102"/>
      <c r="B50" s="71"/>
      <c r="C50" s="136" t="s">
        <v>60</v>
      </c>
      <c r="D50" s="149"/>
      <c r="E50" s="139" t="s">
        <v>119</v>
      </c>
      <c r="F50" s="139"/>
      <c r="G50" s="139"/>
      <c r="H50" s="140" t="s">
        <v>44</v>
      </c>
      <c r="I50" s="165" t="s">
        <v>120</v>
      </c>
      <c r="J50" s="166"/>
      <c r="K50" s="166"/>
      <c r="L50" s="167"/>
      <c r="M50" s="84" t="s">
        <v>45</v>
      </c>
      <c r="N50" s="67">
        <v>0</v>
      </c>
      <c r="O50" s="141">
        <v>46176</v>
      </c>
      <c r="P50" s="142">
        <v>46182</v>
      </c>
      <c r="Q50" s="66" t="s">
        <v>53</v>
      </c>
      <c r="R50" s="67">
        <v>0</v>
      </c>
      <c r="S50" s="141">
        <v>46195</v>
      </c>
      <c r="T50" s="142">
        <v>46205</v>
      </c>
      <c r="U50" s="66" t="s">
        <v>45</v>
      </c>
      <c r="V50" s="67">
        <v>0</v>
      </c>
      <c r="W50" s="141">
        <v>46216</v>
      </c>
      <c r="X50" s="142">
        <v>46219</v>
      </c>
      <c r="Y50" s="70"/>
      <c r="Z50" s="245"/>
      <c r="AA50" s="246"/>
      <c r="AB50" s="246"/>
      <c r="AC50" s="246"/>
      <c r="AD50" s="247"/>
      <c r="AE50" s="123"/>
      <c r="AF50" s="121"/>
      <c r="AG50" s="246"/>
      <c r="AH50" s="124"/>
      <c r="AI50" s="125"/>
      <c r="AJ50" s="126"/>
      <c r="AK50" s="246"/>
      <c r="AL50" s="263"/>
      <c r="AM50" s="246"/>
      <c r="AN50" s="247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 ht="16" customHeight="1">
      <c r="A51" s="102"/>
      <c r="B51" s="71"/>
      <c r="C51" s="136" t="s">
        <v>64</v>
      </c>
      <c r="D51" s="149"/>
      <c r="E51" s="139" t="s">
        <v>119</v>
      </c>
      <c r="F51" s="139" t="s">
        <v>117</v>
      </c>
      <c r="G51" s="139"/>
      <c r="H51" s="140" t="s">
        <v>44</v>
      </c>
      <c r="I51" s="165"/>
      <c r="J51" s="166"/>
      <c r="K51" s="166"/>
      <c r="L51" s="167"/>
      <c r="M51" s="84" t="s">
        <v>45</v>
      </c>
      <c r="N51" s="67">
        <v>0</v>
      </c>
      <c r="O51" s="141">
        <v>46176</v>
      </c>
      <c r="P51" s="142">
        <v>46182</v>
      </c>
      <c r="Q51" s="66" t="s">
        <v>53</v>
      </c>
      <c r="R51" s="67">
        <v>0</v>
      </c>
      <c r="S51" s="141">
        <v>46195</v>
      </c>
      <c r="T51" s="142">
        <v>46205</v>
      </c>
      <c r="U51" s="66" t="s">
        <v>45</v>
      </c>
      <c r="V51" s="67">
        <v>0</v>
      </c>
      <c r="W51" s="141">
        <v>46216</v>
      </c>
      <c r="X51" s="142">
        <v>46219</v>
      </c>
      <c r="Y51" s="70"/>
      <c r="Z51" s="245"/>
      <c r="AA51" s="246"/>
      <c r="AB51" s="246"/>
      <c r="AC51" s="246"/>
      <c r="AD51" s="247"/>
      <c r="AE51" s="123"/>
      <c r="AF51" s="121"/>
      <c r="AG51" s="246"/>
      <c r="AH51" s="124"/>
      <c r="AI51" s="125"/>
      <c r="AJ51" s="126"/>
      <c r="AK51" s="246"/>
      <c r="AL51" s="263"/>
      <c r="AM51" s="246"/>
      <c r="AN51" s="247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 ht="16" customHeight="1">
      <c r="A52" s="102"/>
      <c r="B52" s="71"/>
      <c r="C52" s="136" t="s">
        <v>64</v>
      </c>
      <c r="D52" s="149"/>
      <c r="E52" s="139" t="s">
        <v>119</v>
      </c>
      <c r="F52" s="139" t="s">
        <v>121</v>
      </c>
      <c r="G52" s="139"/>
      <c r="H52" s="140" t="s">
        <v>44</v>
      </c>
      <c r="I52" s="165" t="s">
        <v>122</v>
      </c>
      <c r="J52" s="166"/>
      <c r="K52" s="166"/>
      <c r="L52" s="167"/>
      <c r="M52" s="84" t="s">
        <v>45</v>
      </c>
      <c r="N52" s="67">
        <v>0</v>
      </c>
      <c r="O52" s="141">
        <v>46176</v>
      </c>
      <c r="P52" s="142">
        <v>46182</v>
      </c>
      <c r="Q52" s="66" t="s">
        <v>53</v>
      </c>
      <c r="R52" s="67">
        <v>0</v>
      </c>
      <c r="S52" s="141">
        <v>46195</v>
      </c>
      <c r="T52" s="142">
        <v>46205</v>
      </c>
      <c r="U52" s="66" t="s">
        <v>45</v>
      </c>
      <c r="V52" s="67">
        <v>0</v>
      </c>
      <c r="W52" s="141">
        <v>46216</v>
      </c>
      <c r="X52" s="142">
        <v>46219</v>
      </c>
      <c r="Y52" s="70"/>
      <c r="Z52" s="245"/>
      <c r="AA52" s="246"/>
      <c r="AB52" s="246"/>
      <c r="AC52" s="246"/>
      <c r="AD52" s="247"/>
      <c r="AE52" s="123"/>
      <c r="AF52" s="121"/>
      <c r="AG52" s="246"/>
      <c r="AH52" s="124"/>
      <c r="AI52" s="125"/>
      <c r="AJ52" s="126"/>
      <c r="AK52" s="246"/>
      <c r="AL52" s="263"/>
      <c r="AM52" s="246"/>
      <c r="AN52" s="247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 ht="16" customHeight="1">
      <c r="A53" s="102"/>
      <c r="B53" s="71"/>
      <c r="C53" s="136" t="s">
        <v>64</v>
      </c>
      <c r="D53" s="149"/>
      <c r="E53" s="139" t="s">
        <v>119</v>
      </c>
      <c r="F53" s="139" t="s">
        <v>118</v>
      </c>
      <c r="G53" s="139"/>
      <c r="H53" s="140" t="s">
        <v>44</v>
      </c>
      <c r="I53" s="165" t="s">
        <v>123</v>
      </c>
      <c r="J53" s="166"/>
      <c r="K53" s="166"/>
      <c r="L53" s="167"/>
      <c r="M53" s="84" t="s">
        <v>45</v>
      </c>
      <c r="N53" s="67">
        <v>0</v>
      </c>
      <c r="O53" s="141">
        <v>46176</v>
      </c>
      <c r="P53" s="142">
        <v>46182</v>
      </c>
      <c r="Q53" s="66" t="s">
        <v>53</v>
      </c>
      <c r="R53" s="67">
        <v>0</v>
      </c>
      <c r="S53" s="141">
        <v>46195</v>
      </c>
      <c r="T53" s="142">
        <v>46205</v>
      </c>
      <c r="U53" s="66" t="s">
        <v>45</v>
      </c>
      <c r="V53" s="67">
        <v>0</v>
      </c>
      <c r="W53" s="141">
        <v>46216</v>
      </c>
      <c r="X53" s="142">
        <v>46219</v>
      </c>
      <c r="Y53" s="70"/>
      <c r="Z53" s="245"/>
      <c r="AA53" s="246"/>
      <c r="AB53" s="246"/>
      <c r="AC53" s="246"/>
      <c r="AD53" s="247"/>
      <c r="AE53" s="123"/>
      <c r="AF53" s="121"/>
      <c r="AG53" s="246"/>
      <c r="AH53" s="124"/>
      <c r="AI53" s="125"/>
      <c r="AJ53" s="126"/>
      <c r="AK53" s="246"/>
      <c r="AL53" s="263"/>
      <c r="AM53" s="246"/>
      <c r="AN53" s="247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 ht="16" customHeight="1">
      <c r="A54" s="102"/>
      <c r="B54" s="71"/>
      <c r="C54" s="136" t="s">
        <v>124</v>
      </c>
      <c r="D54" s="149"/>
      <c r="E54" s="139" t="s">
        <v>119</v>
      </c>
      <c r="F54" s="139" t="s">
        <v>125</v>
      </c>
      <c r="G54" s="139"/>
      <c r="H54" s="140" t="s">
        <v>44</v>
      </c>
      <c r="I54" s="165"/>
      <c r="J54" s="166"/>
      <c r="K54" s="166"/>
      <c r="L54" s="167"/>
      <c r="M54" s="84" t="s">
        <v>45</v>
      </c>
      <c r="N54" s="67">
        <v>0</v>
      </c>
      <c r="O54" s="141">
        <v>46176</v>
      </c>
      <c r="P54" s="142">
        <v>46182</v>
      </c>
      <c r="Q54" s="66" t="s">
        <v>53</v>
      </c>
      <c r="R54" s="67">
        <v>0</v>
      </c>
      <c r="S54" s="141">
        <v>46195</v>
      </c>
      <c r="T54" s="142">
        <v>46205</v>
      </c>
      <c r="U54" s="66" t="s">
        <v>45</v>
      </c>
      <c r="V54" s="67">
        <v>0</v>
      </c>
      <c r="W54" s="141">
        <v>46216</v>
      </c>
      <c r="X54" s="142">
        <v>46219</v>
      </c>
      <c r="Y54" s="70"/>
      <c r="Z54" s="245"/>
      <c r="AA54" s="246"/>
      <c r="AB54" s="246"/>
      <c r="AC54" s="246"/>
      <c r="AD54" s="247"/>
      <c r="AE54" s="123"/>
      <c r="AF54" s="121"/>
      <c r="AG54" s="246"/>
      <c r="AH54" s="124"/>
      <c r="AI54" s="125"/>
      <c r="AJ54" s="126"/>
      <c r="AK54" s="246"/>
      <c r="AL54" s="263"/>
      <c r="AM54" s="246"/>
      <c r="AN54" s="247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 ht="16" customHeight="1">
      <c r="A55" s="65"/>
      <c r="B55" s="71"/>
      <c r="C55" s="136" t="s">
        <v>60</v>
      </c>
      <c r="D55" s="139"/>
      <c r="E55" s="139" t="s">
        <v>126</v>
      </c>
      <c r="F55" s="139"/>
      <c r="G55" s="139"/>
      <c r="H55" s="140" t="s">
        <v>44</v>
      </c>
      <c r="I55" s="165" t="s">
        <v>127</v>
      </c>
      <c r="J55" s="166"/>
      <c r="K55" s="166"/>
      <c r="L55" s="167"/>
      <c r="M55" s="84" t="s">
        <v>45</v>
      </c>
      <c r="N55" s="67">
        <v>0</v>
      </c>
      <c r="O55" s="141">
        <v>46176</v>
      </c>
      <c r="P55" s="142">
        <v>46182</v>
      </c>
      <c r="Q55" s="66" t="s">
        <v>53</v>
      </c>
      <c r="R55" s="67">
        <v>0</v>
      </c>
      <c r="S55" s="141">
        <v>46195</v>
      </c>
      <c r="T55" s="142">
        <v>46205</v>
      </c>
      <c r="U55" s="66" t="s">
        <v>45</v>
      </c>
      <c r="V55" s="67">
        <v>0</v>
      </c>
      <c r="W55" s="141">
        <v>46216</v>
      </c>
      <c r="X55" s="142">
        <v>46219</v>
      </c>
      <c r="Y55" s="70"/>
      <c r="Z55" s="245"/>
      <c r="AA55" s="246"/>
      <c r="AB55" s="246"/>
      <c r="AC55" s="246"/>
      <c r="AD55" s="247"/>
      <c r="AE55" s="123"/>
      <c r="AF55" s="121"/>
      <c r="AG55" s="246"/>
      <c r="AH55" s="124"/>
      <c r="AI55" s="125"/>
      <c r="AJ55" s="126"/>
      <c r="AK55" s="246"/>
      <c r="AL55" s="263"/>
      <c r="AM55" s="246"/>
      <c r="AN55" s="247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 ht="16" customHeight="1">
      <c r="A56" s="65"/>
      <c r="B56" s="71"/>
      <c r="C56" s="136" t="s">
        <v>64</v>
      </c>
      <c r="D56" s="139"/>
      <c r="E56" s="150" t="s">
        <v>126</v>
      </c>
      <c r="F56" s="139" t="s">
        <v>117</v>
      </c>
      <c r="G56" s="139"/>
      <c r="H56" s="140" t="s">
        <v>44</v>
      </c>
      <c r="I56" s="165"/>
      <c r="J56" s="166"/>
      <c r="K56" s="166"/>
      <c r="L56" s="167"/>
      <c r="M56" s="84" t="s">
        <v>45</v>
      </c>
      <c r="N56" s="67">
        <v>0</v>
      </c>
      <c r="O56" s="141">
        <v>46176</v>
      </c>
      <c r="P56" s="142">
        <v>46182</v>
      </c>
      <c r="Q56" s="66" t="s">
        <v>53</v>
      </c>
      <c r="R56" s="67">
        <v>0</v>
      </c>
      <c r="S56" s="141">
        <v>46195</v>
      </c>
      <c r="T56" s="142">
        <v>46205</v>
      </c>
      <c r="U56" s="66" t="s">
        <v>45</v>
      </c>
      <c r="V56" s="67">
        <v>0</v>
      </c>
      <c r="W56" s="141">
        <v>46216</v>
      </c>
      <c r="X56" s="142">
        <v>46219</v>
      </c>
      <c r="Y56" s="70"/>
      <c r="Z56" s="245"/>
      <c r="AA56" s="246"/>
      <c r="AB56" s="246"/>
      <c r="AC56" s="246"/>
      <c r="AD56" s="247"/>
      <c r="AE56" s="123"/>
      <c r="AF56" s="121"/>
      <c r="AG56" s="246"/>
      <c r="AH56" s="124"/>
      <c r="AI56" s="125"/>
      <c r="AJ56" s="126"/>
      <c r="AK56" s="246"/>
      <c r="AL56" s="263"/>
      <c r="AM56" s="246"/>
      <c r="AN56" s="247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 ht="16" customHeight="1">
      <c r="A57" s="65"/>
      <c r="B57" s="71"/>
      <c r="C57" s="136" t="s">
        <v>64</v>
      </c>
      <c r="D57" s="147"/>
      <c r="E57" s="150" t="s">
        <v>126</v>
      </c>
      <c r="F57" s="139" t="s">
        <v>121</v>
      </c>
      <c r="G57" s="139"/>
      <c r="H57" s="140" t="s">
        <v>44</v>
      </c>
      <c r="I57" s="165" t="s">
        <v>128</v>
      </c>
      <c r="J57" s="166"/>
      <c r="K57" s="166"/>
      <c r="L57" s="167"/>
      <c r="M57" s="84" t="s">
        <v>45</v>
      </c>
      <c r="N57" s="67">
        <v>0</v>
      </c>
      <c r="O57" s="141">
        <v>46176</v>
      </c>
      <c r="P57" s="142">
        <v>46182</v>
      </c>
      <c r="Q57" s="66" t="s">
        <v>53</v>
      </c>
      <c r="R57" s="67">
        <v>0</v>
      </c>
      <c r="S57" s="141">
        <v>46195</v>
      </c>
      <c r="T57" s="142">
        <v>46205</v>
      </c>
      <c r="U57" s="66" t="s">
        <v>45</v>
      </c>
      <c r="V57" s="67">
        <v>0</v>
      </c>
      <c r="W57" s="141">
        <v>46216</v>
      </c>
      <c r="X57" s="142">
        <v>46219</v>
      </c>
      <c r="Y57" s="70"/>
      <c r="Z57" s="245"/>
      <c r="AA57" s="246"/>
      <c r="AB57" s="246"/>
      <c r="AC57" s="246"/>
      <c r="AD57" s="247"/>
      <c r="AE57" s="123"/>
      <c r="AF57" s="121"/>
      <c r="AG57" s="246"/>
      <c r="AH57" s="124"/>
      <c r="AI57" s="125"/>
      <c r="AJ57" s="126"/>
      <c r="AK57" s="246"/>
      <c r="AL57" s="263"/>
      <c r="AM57" s="246"/>
      <c r="AN57" s="247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 ht="16" customHeight="1">
      <c r="A58" s="65"/>
      <c r="B58" s="71"/>
      <c r="C58" s="136" t="s">
        <v>64</v>
      </c>
      <c r="D58" s="147"/>
      <c r="E58" s="150" t="s">
        <v>126</v>
      </c>
      <c r="F58" s="139" t="s">
        <v>129</v>
      </c>
      <c r="G58" s="139"/>
      <c r="H58" s="140" t="s">
        <v>44</v>
      </c>
      <c r="I58" s="165" t="s">
        <v>130</v>
      </c>
      <c r="J58" s="166"/>
      <c r="K58" s="166"/>
      <c r="L58" s="167"/>
      <c r="M58" s="84" t="s">
        <v>45</v>
      </c>
      <c r="N58" s="67">
        <v>0</v>
      </c>
      <c r="O58" s="141">
        <v>46176</v>
      </c>
      <c r="P58" s="142">
        <v>46182</v>
      </c>
      <c r="Q58" s="66" t="s">
        <v>53</v>
      </c>
      <c r="R58" s="67">
        <v>0</v>
      </c>
      <c r="S58" s="141">
        <v>46195</v>
      </c>
      <c r="T58" s="142">
        <v>46205</v>
      </c>
      <c r="U58" s="66" t="s">
        <v>45</v>
      </c>
      <c r="V58" s="67">
        <v>0</v>
      </c>
      <c r="W58" s="141">
        <v>46216</v>
      </c>
      <c r="X58" s="142">
        <v>46219</v>
      </c>
      <c r="Y58" s="70"/>
      <c r="Z58" s="245"/>
      <c r="AA58" s="246"/>
      <c r="AB58" s="246"/>
      <c r="AC58" s="246"/>
      <c r="AD58" s="247"/>
      <c r="AE58" s="123"/>
      <c r="AF58" s="121"/>
      <c r="AG58" s="246"/>
      <c r="AH58" s="124"/>
      <c r="AI58" s="125"/>
      <c r="AJ58" s="126"/>
      <c r="AK58" s="246"/>
      <c r="AL58" s="263"/>
      <c r="AM58" s="246"/>
      <c r="AN58" s="247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 ht="16" customHeight="1">
      <c r="A59" s="65"/>
      <c r="B59" s="71"/>
      <c r="C59" s="136" t="s">
        <v>124</v>
      </c>
      <c r="D59" s="147"/>
      <c r="E59" s="150" t="s">
        <v>126</v>
      </c>
      <c r="F59" s="139" t="s">
        <v>125</v>
      </c>
      <c r="G59" s="139"/>
      <c r="H59" s="140" t="s">
        <v>44</v>
      </c>
      <c r="I59" s="165"/>
      <c r="J59" s="166"/>
      <c r="K59" s="166"/>
      <c r="L59" s="167"/>
      <c r="M59" s="84" t="s">
        <v>45</v>
      </c>
      <c r="N59" s="67">
        <v>0</v>
      </c>
      <c r="O59" s="141">
        <v>46176</v>
      </c>
      <c r="P59" s="142">
        <v>46182</v>
      </c>
      <c r="Q59" s="66" t="s">
        <v>53</v>
      </c>
      <c r="R59" s="67">
        <v>0</v>
      </c>
      <c r="S59" s="141">
        <v>46195</v>
      </c>
      <c r="T59" s="142">
        <v>46205</v>
      </c>
      <c r="U59" s="66" t="s">
        <v>45</v>
      </c>
      <c r="V59" s="67">
        <v>0</v>
      </c>
      <c r="W59" s="141">
        <v>46216</v>
      </c>
      <c r="X59" s="142">
        <v>46219</v>
      </c>
      <c r="Y59" s="70"/>
      <c r="Z59" s="245"/>
      <c r="AA59" s="246"/>
      <c r="AB59" s="246"/>
      <c r="AC59" s="246"/>
      <c r="AD59" s="247"/>
      <c r="AE59" s="123"/>
      <c r="AF59" s="121"/>
      <c r="AG59" s="246"/>
      <c r="AH59" s="124"/>
      <c r="AI59" s="125"/>
      <c r="AJ59" s="126"/>
      <c r="AK59" s="246"/>
      <c r="AL59" s="263"/>
      <c r="AM59" s="246"/>
      <c r="AN59" s="247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 ht="16" customHeight="1">
      <c r="A60" s="65"/>
      <c r="B60" s="71"/>
      <c r="C60" s="136" t="s">
        <v>60</v>
      </c>
      <c r="D60" s="147"/>
      <c r="E60" s="150" t="s">
        <v>131</v>
      </c>
      <c r="F60" s="139"/>
      <c r="G60" s="139"/>
      <c r="H60" s="140" t="s">
        <v>44</v>
      </c>
      <c r="I60" s="165" t="s">
        <v>132</v>
      </c>
      <c r="J60" s="166"/>
      <c r="K60" s="166"/>
      <c r="L60" s="167"/>
      <c r="M60" s="84" t="s">
        <v>45</v>
      </c>
      <c r="N60" s="67">
        <v>0</v>
      </c>
      <c r="O60" s="141">
        <v>46176</v>
      </c>
      <c r="P60" s="142">
        <v>46182</v>
      </c>
      <c r="Q60" s="66" t="s">
        <v>53</v>
      </c>
      <c r="R60" s="67">
        <v>0</v>
      </c>
      <c r="S60" s="141">
        <v>46195</v>
      </c>
      <c r="T60" s="142">
        <v>46205</v>
      </c>
      <c r="U60" s="66" t="s">
        <v>45</v>
      </c>
      <c r="V60" s="67">
        <v>0</v>
      </c>
      <c r="W60" s="141">
        <v>46216</v>
      </c>
      <c r="X60" s="142">
        <v>46219</v>
      </c>
      <c r="Y60" s="70"/>
      <c r="Z60" s="245"/>
      <c r="AA60" s="246"/>
      <c r="AB60" s="246"/>
      <c r="AC60" s="246"/>
      <c r="AD60" s="247"/>
      <c r="AE60" s="123"/>
      <c r="AF60" s="121"/>
      <c r="AG60" s="246"/>
      <c r="AH60" s="124"/>
      <c r="AI60" s="125"/>
      <c r="AJ60" s="126"/>
      <c r="AK60" s="246"/>
      <c r="AL60" s="263"/>
      <c r="AM60" s="246"/>
      <c r="AN60" s="247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 ht="16" customHeight="1">
      <c r="A61" s="65"/>
      <c r="B61" s="71"/>
      <c r="C61" s="136" t="s">
        <v>60</v>
      </c>
      <c r="D61" s="145" t="s">
        <v>133</v>
      </c>
      <c r="E61" s="144" t="s">
        <v>134</v>
      </c>
      <c r="F61" s="139"/>
      <c r="G61" s="139"/>
      <c r="H61" s="140" t="s">
        <v>44</v>
      </c>
      <c r="I61" s="165" t="s">
        <v>135</v>
      </c>
      <c r="J61" s="166"/>
      <c r="K61" s="166"/>
      <c r="L61" s="167"/>
      <c r="M61" s="84" t="s">
        <v>45</v>
      </c>
      <c r="N61" s="67">
        <v>0</v>
      </c>
      <c r="O61" s="141">
        <v>46167</v>
      </c>
      <c r="P61" s="142">
        <v>46171</v>
      </c>
      <c r="Q61" s="66" t="s">
        <v>53</v>
      </c>
      <c r="R61" s="67">
        <v>0</v>
      </c>
      <c r="S61" s="141">
        <v>46188</v>
      </c>
      <c r="T61" s="142">
        <v>46197</v>
      </c>
      <c r="U61" s="66" t="s">
        <v>45</v>
      </c>
      <c r="V61" s="67">
        <v>0</v>
      </c>
      <c r="W61" s="141">
        <v>46216</v>
      </c>
      <c r="X61" s="142">
        <v>46218</v>
      </c>
      <c r="Y61" s="70"/>
      <c r="Z61" s="245"/>
      <c r="AA61" s="246"/>
      <c r="AB61" s="246"/>
      <c r="AC61" s="246"/>
      <c r="AD61" s="122"/>
      <c r="AE61" s="248"/>
      <c r="AF61" s="246"/>
      <c r="AG61" s="124"/>
      <c r="AH61" s="124"/>
      <c r="AI61" s="247"/>
      <c r="AJ61" s="248"/>
      <c r="AK61" s="246"/>
      <c r="AL61" s="263"/>
      <c r="AM61" s="246"/>
      <c r="AN61" s="247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 ht="16" customHeight="1">
      <c r="A62" s="65"/>
      <c r="B62" s="71"/>
      <c r="C62" s="136" t="s">
        <v>49</v>
      </c>
      <c r="D62" s="145"/>
      <c r="E62" s="144" t="s">
        <v>134</v>
      </c>
      <c r="F62" s="139" t="s">
        <v>113</v>
      </c>
      <c r="G62" s="139"/>
      <c r="H62" s="140" t="s">
        <v>44</v>
      </c>
      <c r="I62" s="165"/>
      <c r="J62" s="166"/>
      <c r="K62" s="166"/>
      <c r="L62" s="167"/>
      <c r="M62" s="84" t="s">
        <v>45</v>
      </c>
      <c r="N62" s="67">
        <v>0</v>
      </c>
      <c r="O62" s="141">
        <v>46167</v>
      </c>
      <c r="P62" s="142">
        <v>46171</v>
      </c>
      <c r="Q62" s="66" t="s">
        <v>53</v>
      </c>
      <c r="R62" s="67">
        <v>0</v>
      </c>
      <c r="S62" s="141">
        <v>46188</v>
      </c>
      <c r="T62" s="142">
        <v>46197</v>
      </c>
      <c r="U62" s="66" t="s">
        <v>45</v>
      </c>
      <c r="V62" s="67">
        <v>0</v>
      </c>
      <c r="W62" s="141">
        <v>46216</v>
      </c>
      <c r="X62" s="142">
        <v>46218</v>
      </c>
      <c r="Y62" s="70"/>
      <c r="Z62" s="245"/>
      <c r="AA62" s="246"/>
      <c r="AB62" s="246"/>
      <c r="AC62" s="246"/>
      <c r="AD62" s="122"/>
      <c r="AE62" s="248"/>
      <c r="AF62" s="246"/>
      <c r="AG62" s="124"/>
      <c r="AH62" s="124"/>
      <c r="AI62" s="247"/>
      <c r="AJ62" s="248"/>
      <c r="AK62" s="246"/>
      <c r="AL62" s="263"/>
      <c r="AM62" s="246"/>
      <c r="AN62" s="247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 ht="16" customHeight="1">
      <c r="A63" s="65"/>
      <c r="B63" s="71"/>
      <c r="C63" s="136" t="s">
        <v>124</v>
      </c>
      <c r="D63" s="145"/>
      <c r="E63" s="144" t="s">
        <v>134</v>
      </c>
      <c r="F63" s="139" t="s">
        <v>136</v>
      </c>
      <c r="G63" s="139"/>
      <c r="H63" s="140" t="s">
        <v>44</v>
      </c>
      <c r="I63" s="165" t="s">
        <v>137</v>
      </c>
      <c r="J63" s="166"/>
      <c r="K63" s="166"/>
      <c r="L63" s="167"/>
      <c r="M63" s="84" t="s">
        <v>45</v>
      </c>
      <c r="N63" s="67">
        <v>0</v>
      </c>
      <c r="O63" s="141">
        <v>46167</v>
      </c>
      <c r="P63" s="142">
        <v>46171</v>
      </c>
      <c r="Q63" s="66" t="s">
        <v>53</v>
      </c>
      <c r="R63" s="67">
        <v>0</v>
      </c>
      <c r="S63" s="141">
        <v>46188</v>
      </c>
      <c r="T63" s="142">
        <v>46197</v>
      </c>
      <c r="U63" s="66" t="s">
        <v>45</v>
      </c>
      <c r="V63" s="67">
        <v>0</v>
      </c>
      <c r="W63" s="141">
        <v>46216</v>
      </c>
      <c r="X63" s="142">
        <v>46218</v>
      </c>
      <c r="Y63" s="70"/>
      <c r="Z63" s="245"/>
      <c r="AA63" s="246"/>
      <c r="AB63" s="246"/>
      <c r="AC63" s="246"/>
      <c r="AD63" s="122"/>
      <c r="AE63" s="248"/>
      <c r="AF63" s="246"/>
      <c r="AG63" s="124"/>
      <c r="AH63" s="124"/>
      <c r="AI63" s="247"/>
      <c r="AJ63" s="248"/>
      <c r="AK63" s="246"/>
      <c r="AL63" s="263"/>
      <c r="AM63" s="246"/>
      <c r="AN63" s="247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 ht="16" customHeight="1">
      <c r="A64" s="65"/>
      <c r="B64" s="71"/>
      <c r="C64" s="136" t="s">
        <v>124</v>
      </c>
      <c r="D64" s="145"/>
      <c r="E64" s="144" t="s">
        <v>134</v>
      </c>
      <c r="F64" s="139" t="s">
        <v>138</v>
      </c>
      <c r="G64" s="139"/>
      <c r="H64" s="140" t="s">
        <v>44</v>
      </c>
      <c r="I64" s="165"/>
      <c r="J64" s="166"/>
      <c r="K64" s="166"/>
      <c r="L64" s="167"/>
      <c r="M64" s="84" t="s">
        <v>45</v>
      </c>
      <c r="N64" s="67">
        <v>0</v>
      </c>
      <c r="O64" s="141">
        <v>46167</v>
      </c>
      <c r="P64" s="142">
        <v>46171</v>
      </c>
      <c r="Q64" s="66" t="s">
        <v>53</v>
      </c>
      <c r="R64" s="67">
        <v>0</v>
      </c>
      <c r="S64" s="141">
        <v>46188</v>
      </c>
      <c r="T64" s="142">
        <v>46197</v>
      </c>
      <c r="U64" s="66" t="s">
        <v>45</v>
      </c>
      <c r="V64" s="67">
        <v>0</v>
      </c>
      <c r="W64" s="141">
        <v>46216</v>
      </c>
      <c r="X64" s="142">
        <v>46218</v>
      </c>
      <c r="Y64" s="70"/>
      <c r="Z64" s="245"/>
      <c r="AA64" s="246"/>
      <c r="AB64" s="246"/>
      <c r="AC64" s="246"/>
      <c r="AD64" s="122"/>
      <c r="AE64" s="248"/>
      <c r="AF64" s="246"/>
      <c r="AG64" s="124"/>
      <c r="AH64" s="124"/>
      <c r="AI64" s="247"/>
      <c r="AJ64" s="248"/>
      <c r="AK64" s="246"/>
      <c r="AL64" s="263"/>
      <c r="AM64" s="246"/>
      <c r="AN64" s="247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 ht="16" customHeight="1">
      <c r="A65" s="65"/>
      <c r="B65" s="71"/>
      <c r="C65" s="136" t="s">
        <v>60</v>
      </c>
      <c r="D65" s="145"/>
      <c r="E65" s="144" t="s">
        <v>139</v>
      </c>
      <c r="F65" s="139"/>
      <c r="G65" s="139"/>
      <c r="H65" s="140" t="s">
        <v>44</v>
      </c>
      <c r="I65" s="165"/>
      <c r="J65" s="166"/>
      <c r="K65" s="166"/>
      <c r="L65" s="167"/>
      <c r="M65" s="84" t="s">
        <v>45</v>
      </c>
      <c r="N65" s="67">
        <v>0</v>
      </c>
      <c r="O65" s="141">
        <v>46167</v>
      </c>
      <c r="P65" s="142">
        <v>46171</v>
      </c>
      <c r="Q65" s="66" t="s">
        <v>53</v>
      </c>
      <c r="R65" s="67">
        <v>0</v>
      </c>
      <c r="S65" s="141">
        <v>46188</v>
      </c>
      <c r="T65" s="142">
        <v>46197</v>
      </c>
      <c r="U65" s="66" t="s">
        <v>45</v>
      </c>
      <c r="V65" s="67">
        <v>0</v>
      </c>
      <c r="W65" s="141">
        <v>46216</v>
      </c>
      <c r="X65" s="142">
        <v>46218</v>
      </c>
      <c r="Y65" s="70"/>
      <c r="Z65" s="245"/>
      <c r="AA65" s="246"/>
      <c r="AB65" s="246"/>
      <c r="AC65" s="246"/>
      <c r="AD65" s="122"/>
      <c r="AE65" s="248"/>
      <c r="AF65" s="246"/>
      <c r="AG65" s="124"/>
      <c r="AH65" s="124"/>
      <c r="AI65" s="247"/>
      <c r="AJ65" s="248"/>
      <c r="AK65" s="246"/>
      <c r="AL65" s="263"/>
      <c r="AM65" s="246"/>
      <c r="AN65" s="247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 ht="16" customHeight="1">
      <c r="A66" s="65"/>
      <c r="B66" s="71"/>
      <c r="C66" s="136" t="s">
        <v>64</v>
      </c>
      <c r="D66" s="145"/>
      <c r="E66" s="144" t="s">
        <v>139</v>
      </c>
      <c r="F66" s="139" t="s">
        <v>140</v>
      </c>
      <c r="G66" s="139"/>
      <c r="H66" s="140" t="s">
        <v>44</v>
      </c>
      <c r="I66" s="165" t="s">
        <v>141</v>
      </c>
      <c r="J66" s="166"/>
      <c r="K66" s="166"/>
      <c r="L66" s="167"/>
      <c r="M66" s="84" t="s">
        <v>45</v>
      </c>
      <c r="N66" s="67">
        <v>0</v>
      </c>
      <c r="O66" s="141">
        <v>46167</v>
      </c>
      <c r="P66" s="142">
        <v>46171</v>
      </c>
      <c r="Q66" s="66" t="s">
        <v>53</v>
      </c>
      <c r="R66" s="67">
        <v>0</v>
      </c>
      <c r="S66" s="141">
        <v>46188</v>
      </c>
      <c r="T66" s="142">
        <v>46197</v>
      </c>
      <c r="U66" s="66" t="s">
        <v>45</v>
      </c>
      <c r="V66" s="67">
        <v>0</v>
      </c>
      <c r="W66" s="141">
        <v>46216</v>
      </c>
      <c r="X66" s="142">
        <v>46218</v>
      </c>
      <c r="Y66" s="70"/>
      <c r="Z66" s="245"/>
      <c r="AA66" s="246"/>
      <c r="AB66" s="246"/>
      <c r="AC66" s="246"/>
      <c r="AD66" s="122"/>
      <c r="AE66" s="248"/>
      <c r="AF66" s="246"/>
      <c r="AG66" s="124"/>
      <c r="AH66" s="124"/>
      <c r="AI66" s="247"/>
      <c r="AJ66" s="248"/>
      <c r="AK66" s="246"/>
      <c r="AL66" s="263"/>
      <c r="AM66" s="246"/>
      <c r="AN66" s="247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 ht="16" customHeight="1">
      <c r="A67" s="65"/>
      <c r="B67" s="71"/>
      <c r="C67" s="136" t="s">
        <v>64</v>
      </c>
      <c r="D67" s="145"/>
      <c r="E67" s="144" t="s">
        <v>139</v>
      </c>
      <c r="F67" s="139" t="s">
        <v>142</v>
      </c>
      <c r="G67" s="139"/>
      <c r="H67" s="140" t="s">
        <v>44</v>
      </c>
      <c r="I67" s="165"/>
      <c r="J67" s="166"/>
      <c r="K67" s="166"/>
      <c r="L67" s="167"/>
      <c r="M67" s="84" t="s">
        <v>45</v>
      </c>
      <c r="N67" s="67">
        <v>0</v>
      </c>
      <c r="O67" s="141">
        <v>46167</v>
      </c>
      <c r="P67" s="142">
        <v>46171</v>
      </c>
      <c r="Q67" s="66" t="s">
        <v>53</v>
      </c>
      <c r="R67" s="67">
        <v>0</v>
      </c>
      <c r="S67" s="141">
        <v>46188</v>
      </c>
      <c r="T67" s="142">
        <v>46197</v>
      </c>
      <c r="U67" s="66" t="s">
        <v>45</v>
      </c>
      <c r="V67" s="67">
        <v>0</v>
      </c>
      <c r="W67" s="141">
        <v>46216</v>
      </c>
      <c r="X67" s="142">
        <v>46218</v>
      </c>
      <c r="Y67" s="70"/>
      <c r="Z67" s="245"/>
      <c r="AA67" s="246"/>
      <c r="AB67" s="246"/>
      <c r="AC67" s="246"/>
      <c r="AD67" s="122"/>
      <c r="AE67" s="248"/>
      <c r="AF67" s="246"/>
      <c r="AG67" s="124"/>
      <c r="AH67" s="124"/>
      <c r="AI67" s="247"/>
      <c r="AJ67" s="248"/>
      <c r="AK67" s="246"/>
      <c r="AL67" s="263"/>
      <c r="AM67" s="246"/>
      <c r="AN67" s="247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 ht="16" customHeight="1">
      <c r="A68" s="65"/>
      <c r="B68" s="71"/>
      <c r="C68" s="136" t="s">
        <v>64</v>
      </c>
      <c r="D68" s="145"/>
      <c r="E68" s="144" t="s">
        <v>139</v>
      </c>
      <c r="F68" s="139" t="s">
        <v>143</v>
      </c>
      <c r="G68" s="139"/>
      <c r="H68" s="140" t="s">
        <v>44</v>
      </c>
      <c r="I68" s="165" t="s">
        <v>144</v>
      </c>
      <c r="J68" s="166"/>
      <c r="K68" s="166"/>
      <c r="L68" s="167"/>
      <c r="M68" s="84" t="s">
        <v>45</v>
      </c>
      <c r="N68" s="67">
        <v>0</v>
      </c>
      <c r="O68" s="141">
        <v>46167</v>
      </c>
      <c r="P68" s="142">
        <v>46171</v>
      </c>
      <c r="Q68" s="66" t="s">
        <v>53</v>
      </c>
      <c r="R68" s="67">
        <v>0</v>
      </c>
      <c r="S68" s="141">
        <v>46188</v>
      </c>
      <c r="T68" s="142">
        <v>46197</v>
      </c>
      <c r="U68" s="66" t="s">
        <v>45</v>
      </c>
      <c r="V68" s="67">
        <v>0</v>
      </c>
      <c r="W68" s="141">
        <v>46216</v>
      </c>
      <c r="X68" s="142">
        <v>46218</v>
      </c>
      <c r="Y68" s="70"/>
      <c r="Z68" s="245"/>
      <c r="AA68" s="246"/>
      <c r="AB68" s="246"/>
      <c r="AC68" s="246"/>
      <c r="AD68" s="122"/>
      <c r="AE68" s="248"/>
      <c r="AF68" s="246"/>
      <c r="AG68" s="124"/>
      <c r="AH68" s="124"/>
      <c r="AI68" s="247"/>
      <c r="AJ68" s="248"/>
      <c r="AK68" s="246"/>
      <c r="AL68" s="263"/>
      <c r="AM68" s="246"/>
      <c r="AN68" s="247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 ht="16" customHeight="1">
      <c r="A69" s="65"/>
      <c r="B69" s="71"/>
      <c r="C69" s="136" t="s">
        <v>95</v>
      </c>
      <c r="D69" s="145"/>
      <c r="E69" s="144" t="s">
        <v>139</v>
      </c>
      <c r="F69" s="139" t="s">
        <v>145</v>
      </c>
      <c r="G69" s="139"/>
      <c r="H69" s="140" t="s">
        <v>44</v>
      </c>
      <c r="I69" s="165" t="s">
        <v>146</v>
      </c>
      <c r="J69" s="166"/>
      <c r="K69" s="166"/>
      <c r="L69" s="167"/>
      <c r="M69" s="84" t="s">
        <v>45</v>
      </c>
      <c r="N69" s="67">
        <v>0</v>
      </c>
      <c r="O69" s="141">
        <v>46167</v>
      </c>
      <c r="P69" s="142">
        <v>46171</v>
      </c>
      <c r="Q69" s="66" t="s">
        <v>53</v>
      </c>
      <c r="R69" s="67">
        <v>0</v>
      </c>
      <c r="S69" s="141">
        <v>46188</v>
      </c>
      <c r="T69" s="142">
        <v>46197</v>
      </c>
      <c r="U69" s="66" t="s">
        <v>45</v>
      </c>
      <c r="V69" s="67">
        <v>0</v>
      </c>
      <c r="W69" s="141">
        <v>46216</v>
      </c>
      <c r="X69" s="142">
        <v>46218</v>
      </c>
      <c r="Y69" s="70"/>
      <c r="Z69" s="245"/>
      <c r="AA69" s="246"/>
      <c r="AB69" s="246"/>
      <c r="AC69" s="246"/>
      <c r="AD69" s="122"/>
      <c r="AE69" s="248"/>
      <c r="AF69" s="246"/>
      <c r="AG69" s="124"/>
      <c r="AH69" s="124"/>
      <c r="AI69" s="247"/>
      <c r="AJ69" s="248"/>
      <c r="AK69" s="246"/>
      <c r="AL69" s="263"/>
      <c r="AM69" s="246"/>
      <c r="AN69" s="247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 ht="16" customHeight="1">
      <c r="A70" s="65"/>
      <c r="B70" s="71"/>
      <c r="C70" s="136" t="s">
        <v>60</v>
      </c>
      <c r="D70" s="145"/>
      <c r="E70" s="144" t="s">
        <v>147</v>
      </c>
      <c r="F70" s="139"/>
      <c r="G70" s="139"/>
      <c r="H70" s="140" t="s">
        <v>44</v>
      </c>
      <c r="I70" s="165" t="s">
        <v>148</v>
      </c>
      <c r="J70" s="166"/>
      <c r="K70" s="166"/>
      <c r="L70" s="167"/>
      <c r="M70" s="84" t="s">
        <v>45</v>
      </c>
      <c r="N70" s="67">
        <v>0</v>
      </c>
      <c r="O70" s="141">
        <v>46167</v>
      </c>
      <c r="P70" s="142">
        <v>46171</v>
      </c>
      <c r="Q70" s="66" t="s">
        <v>53</v>
      </c>
      <c r="R70" s="67">
        <v>0</v>
      </c>
      <c r="S70" s="141">
        <v>46188</v>
      </c>
      <c r="T70" s="142">
        <v>46197</v>
      </c>
      <c r="U70" s="66" t="s">
        <v>45</v>
      </c>
      <c r="V70" s="67">
        <v>0</v>
      </c>
      <c r="W70" s="141">
        <v>46216</v>
      </c>
      <c r="X70" s="142">
        <v>46218</v>
      </c>
      <c r="Y70" s="70"/>
      <c r="Z70" s="245"/>
      <c r="AA70" s="246"/>
      <c r="AB70" s="246"/>
      <c r="AC70" s="246"/>
      <c r="AD70" s="122"/>
      <c r="AE70" s="248"/>
      <c r="AF70" s="246"/>
      <c r="AG70" s="124"/>
      <c r="AH70" s="124"/>
      <c r="AI70" s="247"/>
      <c r="AJ70" s="248"/>
      <c r="AK70" s="246"/>
      <c r="AL70" s="263"/>
      <c r="AM70" s="246"/>
      <c r="AN70" s="247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 ht="16" customHeight="1">
      <c r="A71" s="65"/>
      <c r="B71" s="71"/>
      <c r="C71" s="136" t="s">
        <v>149</v>
      </c>
      <c r="D71" s="145" t="s">
        <v>150</v>
      </c>
      <c r="E71" s="144" t="s">
        <v>151</v>
      </c>
      <c r="F71" s="139"/>
      <c r="G71" s="139"/>
      <c r="H71" s="140" t="s">
        <v>44</v>
      </c>
      <c r="I71" s="165" t="s">
        <v>152</v>
      </c>
      <c r="J71" s="166"/>
      <c r="K71" s="166"/>
      <c r="L71" s="167"/>
      <c r="M71" s="84" t="s">
        <v>45</v>
      </c>
      <c r="N71" s="67">
        <v>0</v>
      </c>
      <c r="O71" s="141">
        <v>46174</v>
      </c>
      <c r="P71" s="142">
        <v>46174</v>
      </c>
      <c r="Q71" s="66" t="s">
        <v>53</v>
      </c>
      <c r="R71" s="67">
        <v>0</v>
      </c>
      <c r="S71" s="141">
        <v>46188</v>
      </c>
      <c r="T71" s="142">
        <v>46188</v>
      </c>
      <c r="U71" s="66" t="s">
        <v>45</v>
      </c>
      <c r="V71" s="67">
        <v>0</v>
      </c>
      <c r="W71" s="141">
        <v>46213</v>
      </c>
      <c r="X71" s="142">
        <v>46213</v>
      </c>
      <c r="Y71" s="70"/>
      <c r="Z71" s="245"/>
      <c r="AA71" s="246"/>
      <c r="AB71" s="246"/>
      <c r="AC71" s="246"/>
      <c r="AD71" s="247"/>
      <c r="AE71" s="123"/>
      <c r="AF71" s="246"/>
      <c r="AG71" s="124"/>
      <c r="AH71" s="246"/>
      <c r="AI71" s="247"/>
      <c r="AJ71" s="248"/>
      <c r="AK71" s="263"/>
      <c r="AL71" s="246"/>
      <c r="AM71" s="246"/>
      <c r="AN71" s="247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 ht="16" customHeight="1">
      <c r="A72" s="65"/>
      <c r="B72" s="222"/>
      <c r="C72" s="136" t="s">
        <v>149</v>
      </c>
      <c r="D72" s="145"/>
      <c r="E72" s="144" t="s">
        <v>153</v>
      </c>
      <c r="F72" s="139"/>
      <c r="G72" s="139"/>
      <c r="H72" s="140" t="s">
        <v>44</v>
      </c>
      <c r="I72" s="165" t="s">
        <v>154</v>
      </c>
      <c r="J72" s="166"/>
      <c r="K72" s="166"/>
      <c r="L72" s="167"/>
      <c r="M72" s="84" t="s">
        <v>45</v>
      </c>
      <c r="N72" s="67">
        <v>0</v>
      </c>
      <c r="O72" s="141">
        <v>46174</v>
      </c>
      <c r="P72" s="142">
        <v>46174</v>
      </c>
      <c r="Q72" s="66" t="s">
        <v>53</v>
      </c>
      <c r="R72" s="67">
        <v>0</v>
      </c>
      <c r="S72" s="141">
        <v>46188</v>
      </c>
      <c r="T72" s="142">
        <v>46188</v>
      </c>
      <c r="U72" s="66" t="s">
        <v>45</v>
      </c>
      <c r="V72" s="67">
        <v>0</v>
      </c>
      <c r="W72" s="141">
        <v>46213</v>
      </c>
      <c r="X72" s="142">
        <v>46213</v>
      </c>
      <c r="Y72" s="70"/>
      <c r="Z72" s="245"/>
      <c r="AA72" s="246"/>
      <c r="AB72" s="246"/>
      <c r="AC72" s="246"/>
      <c r="AD72" s="247"/>
      <c r="AE72" s="123"/>
      <c r="AF72" s="246"/>
      <c r="AG72" s="124"/>
      <c r="AH72" s="246"/>
      <c r="AI72" s="247"/>
      <c r="AJ72" s="248"/>
      <c r="AK72" s="263"/>
      <c r="AL72" s="246"/>
      <c r="AM72" s="246"/>
      <c r="AN72" s="247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 ht="16" customHeight="1">
      <c r="A73" s="65"/>
      <c r="B73" s="71" t="s">
        <v>155</v>
      </c>
      <c r="C73" s="136" t="s">
        <v>60</v>
      </c>
      <c r="D73" s="145" t="s">
        <v>156</v>
      </c>
      <c r="E73" s="144" t="s">
        <v>157</v>
      </c>
      <c r="F73" s="139"/>
      <c r="G73" s="139"/>
      <c r="H73" s="140" t="s">
        <v>44</v>
      </c>
      <c r="I73" s="165"/>
      <c r="J73" s="166"/>
      <c r="K73" s="166"/>
      <c r="L73" s="167"/>
      <c r="M73" s="84" t="s">
        <v>45</v>
      </c>
      <c r="N73" s="67">
        <v>0</v>
      </c>
      <c r="O73" s="141">
        <v>46162</v>
      </c>
      <c r="P73" s="142">
        <v>46164</v>
      </c>
      <c r="Q73" s="66" t="s">
        <v>53</v>
      </c>
      <c r="R73" s="67">
        <v>0</v>
      </c>
      <c r="S73" s="141">
        <v>46181</v>
      </c>
      <c r="T73" s="142">
        <v>46185</v>
      </c>
      <c r="U73" s="66" t="s">
        <v>45</v>
      </c>
      <c r="V73" s="67">
        <v>0</v>
      </c>
      <c r="W73" s="141">
        <v>46213</v>
      </c>
      <c r="X73" s="142">
        <v>46216</v>
      </c>
      <c r="Y73" s="70"/>
      <c r="Z73" s="245"/>
      <c r="AA73" s="246"/>
      <c r="AB73" s="246"/>
      <c r="AC73" s="121"/>
      <c r="AD73" s="247"/>
      <c r="AE73" s="248"/>
      <c r="AF73" s="124"/>
      <c r="AG73" s="246"/>
      <c r="AH73" s="246"/>
      <c r="AI73" s="247"/>
      <c r="AJ73" s="248"/>
      <c r="AK73" s="263"/>
      <c r="AL73" s="263"/>
      <c r="AM73" s="246"/>
      <c r="AN73" s="247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 ht="16" customHeight="1">
      <c r="A74" s="65"/>
      <c r="B74" s="71"/>
      <c r="C74" s="136" t="s">
        <v>149</v>
      </c>
      <c r="D74" s="147"/>
      <c r="E74" s="144" t="s">
        <v>158</v>
      </c>
      <c r="F74" s="139"/>
      <c r="G74" s="139"/>
      <c r="H74" s="140" t="s">
        <v>44</v>
      </c>
      <c r="I74" s="165" t="s">
        <v>159</v>
      </c>
      <c r="J74" s="166"/>
      <c r="K74" s="166"/>
      <c r="L74" s="167"/>
      <c r="M74" s="84" t="s">
        <v>45</v>
      </c>
      <c r="N74" s="67">
        <v>0</v>
      </c>
      <c r="O74" s="141">
        <v>46162</v>
      </c>
      <c r="P74" s="142">
        <v>46164</v>
      </c>
      <c r="Q74" s="66" t="s">
        <v>53</v>
      </c>
      <c r="R74" s="67">
        <v>0</v>
      </c>
      <c r="S74" s="141">
        <v>46181</v>
      </c>
      <c r="T74" s="142">
        <v>46185</v>
      </c>
      <c r="U74" s="66" t="s">
        <v>45</v>
      </c>
      <c r="V74" s="67">
        <v>0</v>
      </c>
      <c r="W74" s="141">
        <v>46213</v>
      </c>
      <c r="X74" s="142">
        <v>46216</v>
      </c>
      <c r="Y74" s="70"/>
      <c r="Z74" s="245"/>
      <c r="AA74" s="246"/>
      <c r="AB74" s="246"/>
      <c r="AC74" s="121"/>
      <c r="AD74" s="247"/>
      <c r="AE74" s="248"/>
      <c r="AF74" s="124"/>
      <c r="AG74" s="246"/>
      <c r="AH74" s="246"/>
      <c r="AI74" s="247"/>
      <c r="AJ74" s="248"/>
      <c r="AK74" s="263"/>
      <c r="AL74" s="263"/>
      <c r="AM74" s="246"/>
      <c r="AN74" s="247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 ht="16" customHeight="1">
      <c r="A75" s="65"/>
      <c r="B75" s="71"/>
      <c r="C75" s="136" t="s">
        <v>49</v>
      </c>
      <c r="D75" s="139" t="s">
        <v>160</v>
      </c>
      <c r="E75" s="144" t="s">
        <v>161</v>
      </c>
      <c r="F75" s="139"/>
      <c r="G75" s="139"/>
      <c r="H75" s="140" t="s">
        <v>44</v>
      </c>
      <c r="I75" s="165" t="s">
        <v>162</v>
      </c>
      <c r="J75" s="166"/>
      <c r="K75" s="166"/>
      <c r="L75" s="167"/>
      <c r="M75" s="84" t="s">
        <v>45</v>
      </c>
      <c r="N75" s="67">
        <v>0</v>
      </c>
      <c r="O75" s="141">
        <v>46162</v>
      </c>
      <c r="P75" s="142">
        <v>46164</v>
      </c>
      <c r="Q75" s="66" t="s">
        <v>53</v>
      </c>
      <c r="R75" s="67">
        <v>0</v>
      </c>
      <c r="S75" s="141">
        <v>46181</v>
      </c>
      <c r="T75" s="142">
        <v>46185</v>
      </c>
      <c r="U75" s="66" t="s">
        <v>45</v>
      </c>
      <c r="V75" s="67">
        <v>0</v>
      </c>
      <c r="W75" s="141">
        <v>46213</v>
      </c>
      <c r="X75" s="142">
        <v>46216</v>
      </c>
      <c r="Y75" s="70"/>
      <c r="Z75" s="245"/>
      <c r="AA75" s="246"/>
      <c r="AB75" s="246"/>
      <c r="AC75" s="121"/>
      <c r="AD75" s="247"/>
      <c r="AE75" s="248"/>
      <c r="AF75" s="124"/>
      <c r="AG75" s="246"/>
      <c r="AH75" s="246"/>
      <c r="AI75" s="247"/>
      <c r="AJ75" s="248"/>
      <c r="AK75" s="263"/>
      <c r="AL75" s="263"/>
      <c r="AM75" s="246"/>
      <c r="AN75" s="247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 ht="16" customHeight="1">
      <c r="A76" s="65"/>
      <c r="B76" s="71"/>
      <c r="C76" s="136" t="s">
        <v>49</v>
      </c>
      <c r="D76" s="139"/>
      <c r="E76" s="144" t="s">
        <v>161</v>
      </c>
      <c r="F76" s="139" t="s">
        <v>163</v>
      </c>
      <c r="G76" s="139"/>
      <c r="H76" s="140" t="s">
        <v>44</v>
      </c>
      <c r="I76" s="165" t="s">
        <v>164</v>
      </c>
      <c r="J76" s="166"/>
      <c r="K76" s="166"/>
      <c r="L76" s="167"/>
      <c r="M76" s="84" t="s">
        <v>45</v>
      </c>
      <c r="N76" s="67">
        <v>0</v>
      </c>
      <c r="O76" s="141">
        <v>46162</v>
      </c>
      <c r="P76" s="142">
        <v>46164</v>
      </c>
      <c r="Q76" s="66" t="s">
        <v>53</v>
      </c>
      <c r="R76" s="67">
        <v>0</v>
      </c>
      <c r="S76" s="141">
        <v>46181</v>
      </c>
      <c r="T76" s="142">
        <v>46185</v>
      </c>
      <c r="U76" s="66" t="s">
        <v>45</v>
      </c>
      <c r="V76" s="67">
        <v>0</v>
      </c>
      <c r="W76" s="141">
        <v>46213</v>
      </c>
      <c r="X76" s="142">
        <v>46216</v>
      </c>
      <c r="Y76" s="70"/>
      <c r="Z76" s="245"/>
      <c r="AA76" s="246"/>
      <c r="AB76" s="246"/>
      <c r="AC76" s="121"/>
      <c r="AD76" s="247"/>
      <c r="AE76" s="248"/>
      <c r="AF76" s="124"/>
      <c r="AG76" s="246"/>
      <c r="AH76" s="246"/>
      <c r="AI76" s="247"/>
      <c r="AJ76" s="248"/>
      <c r="AK76" s="263"/>
      <c r="AL76" s="263"/>
      <c r="AM76" s="246"/>
      <c r="AN76" s="247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 ht="16" customHeight="1">
      <c r="A77" s="65"/>
      <c r="B77" s="71"/>
      <c r="C77" s="136" t="s">
        <v>49</v>
      </c>
      <c r="D77" s="139"/>
      <c r="E77" s="144" t="s">
        <v>165</v>
      </c>
      <c r="F77" s="139"/>
      <c r="G77" s="139"/>
      <c r="H77" s="140" t="s">
        <v>44</v>
      </c>
      <c r="I77" s="165"/>
      <c r="J77" s="166"/>
      <c r="K77" s="166"/>
      <c r="L77" s="167"/>
      <c r="M77" s="84" t="s">
        <v>45</v>
      </c>
      <c r="N77" s="67">
        <v>0</v>
      </c>
      <c r="O77" s="141">
        <v>46162</v>
      </c>
      <c r="P77" s="142">
        <v>46164</v>
      </c>
      <c r="Q77" s="66" t="s">
        <v>53</v>
      </c>
      <c r="R77" s="67">
        <v>0</v>
      </c>
      <c r="S77" s="141">
        <v>46181</v>
      </c>
      <c r="T77" s="142">
        <v>46185</v>
      </c>
      <c r="U77" s="66" t="s">
        <v>45</v>
      </c>
      <c r="V77" s="67">
        <v>0</v>
      </c>
      <c r="W77" s="141">
        <v>46213</v>
      </c>
      <c r="X77" s="142">
        <v>46216</v>
      </c>
      <c r="Y77" s="70"/>
      <c r="Z77" s="245"/>
      <c r="AA77" s="246"/>
      <c r="AB77" s="246"/>
      <c r="AC77" s="121"/>
      <c r="AD77" s="247"/>
      <c r="AE77" s="248"/>
      <c r="AF77" s="124"/>
      <c r="AG77" s="246"/>
      <c r="AH77" s="246"/>
      <c r="AI77" s="247"/>
      <c r="AJ77" s="248"/>
      <c r="AK77" s="263"/>
      <c r="AL77" s="263"/>
      <c r="AM77" s="246"/>
      <c r="AN77" s="247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 ht="16" customHeight="1">
      <c r="A78" s="65"/>
      <c r="B78" s="71"/>
      <c r="C78" s="136" t="s">
        <v>60</v>
      </c>
      <c r="D78" s="139" t="s">
        <v>166</v>
      </c>
      <c r="E78" s="144" t="s">
        <v>166</v>
      </c>
      <c r="F78" s="139"/>
      <c r="G78" s="139"/>
      <c r="H78" s="140" t="s">
        <v>44</v>
      </c>
      <c r="I78" s="165"/>
      <c r="J78" s="166"/>
      <c r="K78" s="166"/>
      <c r="L78" s="167"/>
      <c r="M78" s="84" t="s">
        <v>45</v>
      </c>
      <c r="N78" s="67">
        <v>0</v>
      </c>
      <c r="O78" s="141">
        <v>46176</v>
      </c>
      <c r="P78" s="142">
        <v>46178</v>
      </c>
      <c r="Q78" s="66" t="s">
        <v>53</v>
      </c>
      <c r="R78" s="67">
        <v>0</v>
      </c>
      <c r="S78" s="141">
        <v>46202</v>
      </c>
      <c r="T78" s="142">
        <v>46205</v>
      </c>
      <c r="U78" s="66" t="s">
        <v>45</v>
      </c>
      <c r="V78" s="67">
        <v>0</v>
      </c>
      <c r="W78" s="141">
        <v>46218</v>
      </c>
      <c r="X78" s="142">
        <v>46219</v>
      </c>
      <c r="Y78" s="70"/>
      <c r="Z78" s="245"/>
      <c r="AA78" s="246"/>
      <c r="AB78" s="246"/>
      <c r="AC78" s="246"/>
      <c r="AD78" s="247"/>
      <c r="AE78" s="123"/>
      <c r="AF78" s="246"/>
      <c r="AG78" s="246"/>
      <c r="AH78" s="246"/>
      <c r="AI78" s="125"/>
      <c r="AJ78" s="126"/>
      <c r="AK78" s="246"/>
      <c r="AL78" s="263"/>
      <c r="AM78" s="246"/>
      <c r="AN78" s="247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 ht="16" customHeight="1">
      <c r="A79" s="65"/>
      <c r="B79" s="71"/>
      <c r="C79" s="136" t="s">
        <v>49</v>
      </c>
      <c r="D79" s="139"/>
      <c r="E79" s="144" t="s">
        <v>167</v>
      </c>
      <c r="F79" s="139"/>
      <c r="G79" s="139"/>
      <c r="H79" s="140" t="s">
        <v>44</v>
      </c>
      <c r="I79" s="165"/>
      <c r="J79" s="166"/>
      <c r="K79" s="166"/>
      <c r="L79" s="167"/>
      <c r="M79" s="84" t="s">
        <v>45</v>
      </c>
      <c r="N79" s="67">
        <v>0</v>
      </c>
      <c r="O79" s="141">
        <v>46176</v>
      </c>
      <c r="P79" s="142">
        <v>46178</v>
      </c>
      <c r="Q79" s="66" t="s">
        <v>53</v>
      </c>
      <c r="R79" s="67">
        <v>0</v>
      </c>
      <c r="S79" s="141">
        <v>46202</v>
      </c>
      <c r="T79" s="142">
        <v>46205</v>
      </c>
      <c r="U79" s="66" t="s">
        <v>45</v>
      </c>
      <c r="V79" s="67">
        <v>0</v>
      </c>
      <c r="W79" s="141">
        <v>46218</v>
      </c>
      <c r="X79" s="142">
        <v>46219</v>
      </c>
      <c r="Y79" s="70"/>
      <c r="Z79" s="245"/>
      <c r="AA79" s="246"/>
      <c r="AB79" s="246"/>
      <c r="AC79" s="246"/>
      <c r="AD79" s="247"/>
      <c r="AE79" s="123"/>
      <c r="AF79" s="246"/>
      <c r="AG79" s="246"/>
      <c r="AH79" s="246"/>
      <c r="AI79" s="125"/>
      <c r="AJ79" s="126"/>
      <c r="AK79" s="246"/>
      <c r="AL79" s="263"/>
      <c r="AM79" s="246"/>
      <c r="AN79" s="247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 ht="16" customHeight="1">
      <c r="A80" s="65"/>
      <c r="B80" s="71"/>
      <c r="C80" s="136" t="s">
        <v>49</v>
      </c>
      <c r="D80" s="139"/>
      <c r="E80" s="144" t="s">
        <v>168</v>
      </c>
      <c r="F80" s="139"/>
      <c r="G80" s="139"/>
      <c r="H80" s="140" t="s">
        <v>44</v>
      </c>
      <c r="I80" s="165"/>
      <c r="J80" s="166"/>
      <c r="K80" s="166"/>
      <c r="L80" s="167"/>
      <c r="M80" s="84" t="s">
        <v>45</v>
      </c>
      <c r="N80" s="67">
        <v>0</v>
      </c>
      <c r="O80" s="141">
        <v>46176</v>
      </c>
      <c r="P80" s="142">
        <v>46178</v>
      </c>
      <c r="Q80" s="66" t="s">
        <v>53</v>
      </c>
      <c r="R80" s="67">
        <v>0</v>
      </c>
      <c r="S80" s="141">
        <v>46202</v>
      </c>
      <c r="T80" s="142">
        <v>46205</v>
      </c>
      <c r="U80" s="66" t="s">
        <v>45</v>
      </c>
      <c r="V80" s="67">
        <v>0</v>
      </c>
      <c r="W80" s="141">
        <v>46218</v>
      </c>
      <c r="X80" s="142">
        <v>46219</v>
      </c>
      <c r="Y80" s="70"/>
      <c r="Z80" s="245"/>
      <c r="AA80" s="246"/>
      <c r="AB80" s="246"/>
      <c r="AC80" s="246"/>
      <c r="AD80" s="247"/>
      <c r="AE80" s="123"/>
      <c r="AF80" s="246"/>
      <c r="AG80" s="246"/>
      <c r="AH80" s="246"/>
      <c r="AI80" s="125"/>
      <c r="AJ80" s="126"/>
      <c r="AK80" s="246"/>
      <c r="AL80" s="263"/>
      <c r="AM80" s="246"/>
      <c r="AN80" s="247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 ht="16" customHeight="1">
      <c r="A81" s="65"/>
      <c r="B81" s="71"/>
      <c r="C81" s="136" t="s">
        <v>60</v>
      </c>
      <c r="D81" s="139" t="s">
        <v>169</v>
      </c>
      <c r="E81" s="144" t="s">
        <v>170</v>
      </c>
      <c r="F81" s="139"/>
      <c r="G81" s="139"/>
      <c r="H81" s="140" t="s">
        <v>44</v>
      </c>
      <c r="I81" s="165" t="s">
        <v>171</v>
      </c>
      <c r="J81" s="166"/>
      <c r="K81" s="166"/>
      <c r="L81" s="167"/>
      <c r="M81" s="84" t="s">
        <v>45</v>
      </c>
      <c r="N81" s="67">
        <v>0</v>
      </c>
      <c r="O81" s="141">
        <v>46174</v>
      </c>
      <c r="P81" s="142">
        <v>46182</v>
      </c>
      <c r="Q81" s="66" t="s">
        <v>53</v>
      </c>
      <c r="R81" s="67">
        <v>0</v>
      </c>
      <c r="S81" s="141">
        <v>46195</v>
      </c>
      <c r="T81" s="142">
        <v>46206</v>
      </c>
      <c r="U81" s="66" t="s">
        <v>45</v>
      </c>
      <c r="V81" s="67">
        <v>0</v>
      </c>
      <c r="W81" s="141">
        <v>46216</v>
      </c>
      <c r="X81" s="142">
        <v>46219</v>
      </c>
      <c r="Y81" s="70"/>
      <c r="Z81" s="245"/>
      <c r="AA81" s="246"/>
      <c r="AB81" s="246"/>
      <c r="AC81" s="246"/>
      <c r="AD81" s="247"/>
      <c r="AE81" s="123"/>
      <c r="AF81" s="121"/>
      <c r="AG81" s="246"/>
      <c r="AH81" s="124"/>
      <c r="AI81" s="125"/>
      <c r="AJ81" s="126"/>
      <c r="AK81" s="246"/>
      <c r="AL81" s="263"/>
      <c r="AM81" s="246"/>
      <c r="AN81" s="247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 ht="16" customHeight="1">
      <c r="A82" s="65"/>
      <c r="B82" s="71"/>
      <c r="C82" s="136" t="s">
        <v>49</v>
      </c>
      <c r="D82" s="139"/>
      <c r="E82" s="144" t="s">
        <v>170</v>
      </c>
      <c r="F82" s="139" t="s">
        <v>172</v>
      </c>
      <c r="G82" s="139"/>
      <c r="H82" s="140" t="s">
        <v>44</v>
      </c>
      <c r="I82" s="165"/>
      <c r="J82" s="166"/>
      <c r="K82" s="166"/>
      <c r="L82" s="167"/>
      <c r="M82" s="84" t="s">
        <v>45</v>
      </c>
      <c r="N82" s="67">
        <v>0</v>
      </c>
      <c r="O82" s="141">
        <v>46174</v>
      </c>
      <c r="P82" s="142">
        <v>46182</v>
      </c>
      <c r="Q82" s="66" t="s">
        <v>53</v>
      </c>
      <c r="R82" s="67">
        <v>0</v>
      </c>
      <c r="S82" s="141">
        <v>46195</v>
      </c>
      <c r="T82" s="142">
        <v>46206</v>
      </c>
      <c r="U82" s="66" t="s">
        <v>45</v>
      </c>
      <c r="V82" s="67">
        <v>0</v>
      </c>
      <c r="W82" s="141">
        <v>46216</v>
      </c>
      <c r="X82" s="142">
        <v>46219</v>
      </c>
      <c r="Y82" s="70"/>
      <c r="Z82" s="245"/>
      <c r="AA82" s="246"/>
      <c r="AB82" s="246"/>
      <c r="AC82" s="246"/>
      <c r="AD82" s="247"/>
      <c r="AE82" s="123"/>
      <c r="AF82" s="121"/>
      <c r="AG82" s="246"/>
      <c r="AH82" s="124"/>
      <c r="AI82" s="125"/>
      <c r="AJ82" s="126"/>
      <c r="AK82" s="246"/>
      <c r="AL82" s="263"/>
      <c r="AM82" s="246"/>
      <c r="AN82" s="247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 ht="16" customHeight="1">
      <c r="A83" s="65"/>
      <c r="B83" s="71"/>
      <c r="C83" s="136" t="s">
        <v>49</v>
      </c>
      <c r="D83" s="139"/>
      <c r="E83" s="144" t="s">
        <v>170</v>
      </c>
      <c r="F83" s="139" t="s">
        <v>173</v>
      </c>
      <c r="G83" s="139"/>
      <c r="H83" s="140" t="s">
        <v>44</v>
      </c>
      <c r="I83" s="165" t="s">
        <v>174</v>
      </c>
      <c r="J83" s="166"/>
      <c r="K83" s="166"/>
      <c r="L83" s="167"/>
      <c r="M83" s="84" t="s">
        <v>45</v>
      </c>
      <c r="N83" s="67">
        <v>0</v>
      </c>
      <c r="O83" s="141">
        <v>46174</v>
      </c>
      <c r="P83" s="142">
        <v>46182</v>
      </c>
      <c r="Q83" s="66" t="s">
        <v>53</v>
      </c>
      <c r="R83" s="67">
        <v>0</v>
      </c>
      <c r="S83" s="141">
        <v>46195</v>
      </c>
      <c r="T83" s="142">
        <v>46206</v>
      </c>
      <c r="U83" s="66" t="s">
        <v>45</v>
      </c>
      <c r="V83" s="67">
        <v>0</v>
      </c>
      <c r="W83" s="141">
        <v>46216</v>
      </c>
      <c r="X83" s="142">
        <v>46219</v>
      </c>
      <c r="Y83" s="70"/>
      <c r="Z83" s="245"/>
      <c r="AA83" s="246"/>
      <c r="AB83" s="246"/>
      <c r="AC83" s="246"/>
      <c r="AD83" s="247"/>
      <c r="AE83" s="123"/>
      <c r="AF83" s="121"/>
      <c r="AG83" s="246"/>
      <c r="AH83" s="124"/>
      <c r="AI83" s="125"/>
      <c r="AJ83" s="126"/>
      <c r="AK83" s="246"/>
      <c r="AL83" s="263"/>
      <c r="AM83" s="246"/>
      <c r="AN83" s="247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 ht="16" customHeight="1">
      <c r="A84" s="65"/>
      <c r="B84" s="71"/>
      <c r="C84" s="136" t="s">
        <v>95</v>
      </c>
      <c r="D84" s="139"/>
      <c r="E84" s="144" t="s">
        <v>170</v>
      </c>
      <c r="F84" s="139" t="s">
        <v>175</v>
      </c>
      <c r="G84" s="139"/>
      <c r="H84" s="140" t="s">
        <v>44</v>
      </c>
      <c r="I84" s="165" t="s">
        <v>176</v>
      </c>
      <c r="J84" s="166"/>
      <c r="K84" s="166"/>
      <c r="L84" s="167"/>
      <c r="M84" s="84" t="s">
        <v>45</v>
      </c>
      <c r="N84" s="67">
        <v>0</v>
      </c>
      <c r="O84" s="141">
        <v>46174</v>
      </c>
      <c r="P84" s="142">
        <v>46182</v>
      </c>
      <c r="Q84" s="66" t="s">
        <v>53</v>
      </c>
      <c r="R84" s="67">
        <v>0</v>
      </c>
      <c r="S84" s="141">
        <v>46195</v>
      </c>
      <c r="T84" s="142">
        <v>46206</v>
      </c>
      <c r="U84" s="66" t="s">
        <v>45</v>
      </c>
      <c r="V84" s="67">
        <v>0</v>
      </c>
      <c r="W84" s="141">
        <v>46216</v>
      </c>
      <c r="X84" s="142">
        <v>46219</v>
      </c>
      <c r="Y84" s="70"/>
      <c r="Z84" s="245"/>
      <c r="AA84" s="246"/>
      <c r="AB84" s="246"/>
      <c r="AC84" s="246"/>
      <c r="AD84" s="247"/>
      <c r="AE84" s="123"/>
      <c r="AF84" s="121"/>
      <c r="AG84" s="246"/>
      <c r="AH84" s="124"/>
      <c r="AI84" s="125"/>
      <c r="AJ84" s="126"/>
      <c r="AK84" s="246"/>
      <c r="AL84" s="263"/>
      <c r="AM84" s="246"/>
      <c r="AN84" s="247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 ht="16" customHeight="1">
      <c r="A85" s="65"/>
      <c r="B85" s="71"/>
      <c r="C85" s="136" t="s">
        <v>95</v>
      </c>
      <c r="D85" s="139"/>
      <c r="E85" s="144" t="s">
        <v>170</v>
      </c>
      <c r="F85" s="139" t="s">
        <v>177</v>
      </c>
      <c r="G85" s="139"/>
      <c r="H85" s="140" t="s">
        <v>44</v>
      </c>
      <c r="I85" s="165"/>
      <c r="J85" s="166"/>
      <c r="K85" s="166"/>
      <c r="L85" s="167"/>
      <c r="M85" s="84" t="s">
        <v>45</v>
      </c>
      <c r="N85" s="67">
        <v>0</v>
      </c>
      <c r="O85" s="141">
        <v>46174</v>
      </c>
      <c r="P85" s="142">
        <v>46182</v>
      </c>
      <c r="Q85" s="66" t="s">
        <v>53</v>
      </c>
      <c r="R85" s="67">
        <v>0</v>
      </c>
      <c r="S85" s="141">
        <v>46195</v>
      </c>
      <c r="T85" s="142">
        <v>46206</v>
      </c>
      <c r="U85" s="66" t="s">
        <v>45</v>
      </c>
      <c r="V85" s="67">
        <v>0</v>
      </c>
      <c r="W85" s="141">
        <v>46216</v>
      </c>
      <c r="X85" s="142">
        <v>46219</v>
      </c>
      <c r="Y85" s="70"/>
      <c r="Z85" s="245"/>
      <c r="AA85" s="246"/>
      <c r="AB85" s="246"/>
      <c r="AC85" s="246"/>
      <c r="AD85" s="247"/>
      <c r="AE85" s="123"/>
      <c r="AF85" s="121"/>
      <c r="AG85" s="246"/>
      <c r="AH85" s="124"/>
      <c r="AI85" s="125"/>
      <c r="AJ85" s="126"/>
      <c r="AK85" s="246"/>
      <c r="AL85" s="263"/>
      <c r="AM85" s="246"/>
      <c r="AN85" s="247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 ht="16" customHeight="1">
      <c r="A86" s="65"/>
      <c r="B86" s="71"/>
      <c r="C86" s="136" t="s">
        <v>95</v>
      </c>
      <c r="D86" s="139"/>
      <c r="E86" s="144" t="s">
        <v>170</v>
      </c>
      <c r="F86" s="139" t="s">
        <v>178</v>
      </c>
      <c r="G86" s="139"/>
      <c r="H86" s="140" t="s">
        <v>44</v>
      </c>
      <c r="I86" s="165" t="s">
        <v>179</v>
      </c>
      <c r="J86" s="166"/>
      <c r="K86" s="166"/>
      <c r="L86" s="167"/>
      <c r="M86" s="84" t="s">
        <v>45</v>
      </c>
      <c r="N86" s="67">
        <v>0</v>
      </c>
      <c r="O86" s="141">
        <v>46174</v>
      </c>
      <c r="P86" s="142">
        <v>46182</v>
      </c>
      <c r="Q86" s="66" t="s">
        <v>53</v>
      </c>
      <c r="R86" s="67">
        <v>0</v>
      </c>
      <c r="S86" s="141">
        <v>46195</v>
      </c>
      <c r="T86" s="142">
        <v>46206</v>
      </c>
      <c r="U86" s="66" t="s">
        <v>45</v>
      </c>
      <c r="V86" s="67">
        <v>0</v>
      </c>
      <c r="W86" s="141">
        <v>46216</v>
      </c>
      <c r="X86" s="142">
        <v>46219</v>
      </c>
      <c r="Y86" s="70"/>
      <c r="Z86" s="245"/>
      <c r="AA86" s="246"/>
      <c r="AB86" s="246"/>
      <c r="AC86" s="246"/>
      <c r="AD86" s="247"/>
      <c r="AE86" s="123"/>
      <c r="AF86" s="121"/>
      <c r="AG86" s="246"/>
      <c r="AH86" s="124"/>
      <c r="AI86" s="125"/>
      <c r="AJ86" s="126"/>
      <c r="AK86" s="246"/>
      <c r="AL86" s="263"/>
      <c r="AM86" s="246"/>
      <c r="AN86" s="247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 ht="16" customHeight="1">
      <c r="A87" s="65"/>
      <c r="B87" s="71"/>
      <c r="C87" s="136" t="s">
        <v>124</v>
      </c>
      <c r="D87" s="139"/>
      <c r="E87" s="144" t="s">
        <v>170</v>
      </c>
      <c r="F87" s="139" t="s">
        <v>180</v>
      </c>
      <c r="G87" s="139"/>
      <c r="H87" s="140" t="s">
        <v>44</v>
      </c>
      <c r="I87" s="165"/>
      <c r="J87" s="166"/>
      <c r="K87" s="166"/>
      <c r="L87" s="167"/>
      <c r="M87" s="84" t="s">
        <v>45</v>
      </c>
      <c r="N87" s="67">
        <v>0</v>
      </c>
      <c r="O87" s="141">
        <v>46174</v>
      </c>
      <c r="P87" s="142">
        <v>46182</v>
      </c>
      <c r="Q87" s="66" t="s">
        <v>53</v>
      </c>
      <c r="R87" s="67">
        <v>0</v>
      </c>
      <c r="S87" s="141">
        <v>46195</v>
      </c>
      <c r="T87" s="142">
        <v>46206</v>
      </c>
      <c r="U87" s="66" t="s">
        <v>45</v>
      </c>
      <c r="V87" s="67">
        <v>0</v>
      </c>
      <c r="W87" s="141">
        <v>46216</v>
      </c>
      <c r="X87" s="142">
        <v>46219</v>
      </c>
      <c r="Y87" s="70"/>
      <c r="Z87" s="245"/>
      <c r="AA87" s="246"/>
      <c r="AB87" s="246"/>
      <c r="AC87" s="246"/>
      <c r="AD87" s="247"/>
      <c r="AE87" s="123"/>
      <c r="AF87" s="121"/>
      <c r="AG87" s="246"/>
      <c r="AH87" s="124"/>
      <c r="AI87" s="125"/>
      <c r="AJ87" s="126"/>
      <c r="AK87" s="246"/>
      <c r="AL87" s="263"/>
      <c r="AM87" s="246"/>
      <c r="AN87" s="247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 ht="16" customHeight="1">
      <c r="A88" s="65"/>
      <c r="B88" s="71"/>
      <c r="C88" s="136" t="s">
        <v>95</v>
      </c>
      <c r="D88" s="139"/>
      <c r="E88" s="144" t="s">
        <v>170</v>
      </c>
      <c r="F88" s="139" t="s">
        <v>181</v>
      </c>
      <c r="G88" s="139"/>
      <c r="H88" s="140" t="s">
        <v>44</v>
      </c>
      <c r="I88" s="165" t="s">
        <v>182</v>
      </c>
      <c r="J88" s="166"/>
      <c r="K88" s="166"/>
      <c r="L88" s="167"/>
      <c r="M88" s="84" t="s">
        <v>45</v>
      </c>
      <c r="N88" s="67">
        <v>0</v>
      </c>
      <c r="O88" s="141">
        <v>46174</v>
      </c>
      <c r="P88" s="142">
        <v>46182</v>
      </c>
      <c r="Q88" s="66" t="s">
        <v>53</v>
      </c>
      <c r="R88" s="67">
        <v>0</v>
      </c>
      <c r="S88" s="141">
        <v>46195</v>
      </c>
      <c r="T88" s="142">
        <v>46206</v>
      </c>
      <c r="U88" s="66" t="s">
        <v>45</v>
      </c>
      <c r="V88" s="67">
        <v>0</v>
      </c>
      <c r="W88" s="141">
        <v>46216</v>
      </c>
      <c r="X88" s="142">
        <v>46219</v>
      </c>
      <c r="Y88" s="70"/>
      <c r="Z88" s="245"/>
      <c r="AA88" s="246"/>
      <c r="AB88" s="246"/>
      <c r="AC88" s="246"/>
      <c r="AD88" s="247"/>
      <c r="AE88" s="123"/>
      <c r="AF88" s="121"/>
      <c r="AG88" s="246"/>
      <c r="AH88" s="124"/>
      <c r="AI88" s="125"/>
      <c r="AJ88" s="126"/>
      <c r="AK88" s="246"/>
      <c r="AL88" s="263"/>
      <c r="AM88" s="246"/>
      <c r="AN88" s="247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 ht="16" customHeight="1">
      <c r="A89" s="65"/>
      <c r="B89" s="71"/>
      <c r="C89" s="136" t="s">
        <v>49</v>
      </c>
      <c r="D89" s="146"/>
      <c r="E89" s="144" t="s">
        <v>170</v>
      </c>
      <c r="F89" s="139" t="s">
        <v>183</v>
      </c>
      <c r="G89" s="139"/>
      <c r="H89" s="140" t="s">
        <v>44</v>
      </c>
      <c r="I89" s="165" t="s">
        <v>184</v>
      </c>
      <c r="J89" s="166"/>
      <c r="K89" s="166"/>
      <c r="L89" s="167"/>
      <c r="M89" s="84" t="s">
        <v>45</v>
      </c>
      <c r="N89" s="67">
        <v>0</v>
      </c>
      <c r="O89" s="141">
        <v>46174</v>
      </c>
      <c r="P89" s="142">
        <v>46182</v>
      </c>
      <c r="Q89" s="66" t="s">
        <v>53</v>
      </c>
      <c r="R89" s="67">
        <v>0</v>
      </c>
      <c r="S89" s="141">
        <v>46195</v>
      </c>
      <c r="T89" s="142">
        <v>46206</v>
      </c>
      <c r="U89" s="66" t="s">
        <v>45</v>
      </c>
      <c r="V89" s="67">
        <v>0</v>
      </c>
      <c r="W89" s="141">
        <v>46216</v>
      </c>
      <c r="X89" s="142">
        <v>46219</v>
      </c>
      <c r="Y89" s="103"/>
      <c r="Z89" s="245"/>
      <c r="AA89" s="246"/>
      <c r="AB89" s="246"/>
      <c r="AC89" s="246"/>
      <c r="AD89" s="247"/>
      <c r="AE89" s="123"/>
      <c r="AF89" s="121"/>
      <c r="AG89" s="246"/>
      <c r="AH89" s="124"/>
      <c r="AI89" s="125"/>
      <c r="AJ89" s="126"/>
      <c r="AK89" s="246"/>
      <c r="AL89" s="263"/>
      <c r="AM89" s="246"/>
      <c r="AN89" s="247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 ht="16" customHeight="1">
      <c r="A90" s="65"/>
      <c r="B90" s="71"/>
      <c r="C90" s="136" t="s">
        <v>49</v>
      </c>
      <c r="D90" s="145"/>
      <c r="E90" s="144" t="s">
        <v>170</v>
      </c>
      <c r="F90" s="139" t="s">
        <v>185</v>
      </c>
      <c r="G90" s="139"/>
      <c r="H90" s="140" t="s">
        <v>44</v>
      </c>
      <c r="I90" s="165" t="s">
        <v>186</v>
      </c>
      <c r="J90" s="166"/>
      <c r="K90" s="166"/>
      <c r="L90" s="167"/>
      <c r="M90" s="84" t="s">
        <v>45</v>
      </c>
      <c r="N90" s="67">
        <v>0</v>
      </c>
      <c r="O90" s="141">
        <v>46174</v>
      </c>
      <c r="P90" s="142">
        <v>46182</v>
      </c>
      <c r="Q90" s="66" t="s">
        <v>53</v>
      </c>
      <c r="R90" s="67">
        <v>0</v>
      </c>
      <c r="S90" s="141">
        <v>46195</v>
      </c>
      <c r="T90" s="142">
        <v>46206</v>
      </c>
      <c r="U90" s="66" t="s">
        <v>45</v>
      </c>
      <c r="V90" s="67">
        <v>0</v>
      </c>
      <c r="W90" s="141">
        <v>46216</v>
      </c>
      <c r="X90" s="142">
        <v>46219</v>
      </c>
      <c r="Y90" s="103"/>
      <c r="Z90" s="245"/>
      <c r="AA90" s="246"/>
      <c r="AB90" s="246"/>
      <c r="AC90" s="246"/>
      <c r="AD90" s="247"/>
      <c r="AE90" s="123"/>
      <c r="AF90" s="121"/>
      <c r="AG90" s="246"/>
      <c r="AH90" s="124"/>
      <c r="AI90" s="125"/>
      <c r="AJ90" s="126"/>
      <c r="AK90" s="246"/>
      <c r="AL90" s="263"/>
      <c r="AM90" s="246"/>
      <c r="AN90" s="247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 ht="16" customHeight="1">
      <c r="A91" s="65"/>
      <c r="B91" s="71"/>
      <c r="C91" s="136" t="s">
        <v>49</v>
      </c>
      <c r="D91" s="145"/>
      <c r="E91" s="144" t="s">
        <v>170</v>
      </c>
      <c r="F91" s="139" t="s">
        <v>187</v>
      </c>
      <c r="G91" s="139"/>
      <c r="H91" s="140" t="s">
        <v>44</v>
      </c>
      <c r="I91" s="165"/>
      <c r="J91" s="166"/>
      <c r="K91" s="166"/>
      <c r="L91" s="167"/>
      <c r="M91" s="84" t="s">
        <v>45</v>
      </c>
      <c r="N91" s="67">
        <v>0</v>
      </c>
      <c r="O91" s="141">
        <v>46174</v>
      </c>
      <c r="P91" s="142">
        <v>46182</v>
      </c>
      <c r="Q91" s="66" t="s">
        <v>53</v>
      </c>
      <c r="R91" s="67">
        <v>0</v>
      </c>
      <c r="S91" s="141">
        <v>46195</v>
      </c>
      <c r="T91" s="142">
        <v>46206</v>
      </c>
      <c r="U91" s="66" t="s">
        <v>45</v>
      </c>
      <c r="V91" s="67">
        <v>0</v>
      </c>
      <c r="W91" s="141">
        <v>46216</v>
      </c>
      <c r="X91" s="142">
        <v>46219</v>
      </c>
      <c r="Y91" s="103"/>
      <c r="Z91" s="245"/>
      <c r="AA91" s="246"/>
      <c r="AB91" s="246"/>
      <c r="AC91" s="246"/>
      <c r="AD91" s="247"/>
      <c r="AE91" s="123"/>
      <c r="AF91" s="121"/>
      <c r="AG91" s="246"/>
      <c r="AH91" s="124"/>
      <c r="AI91" s="125"/>
      <c r="AJ91" s="126"/>
      <c r="AK91" s="246"/>
      <c r="AL91" s="263"/>
      <c r="AM91" s="246"/>
      <c r="AN91" s="247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 ht="16" customHeight="1">
      <c r="A92" s="65"/>
      <c r="B92" s="71"/>
      <c r="C92" s="136" t="s">
        <v>60</v>
      </c>
      <c r="D92" s="145"/>
      <c r="E92" s="144" t="s">
        <v>188</v>
      </c>
      <c r="F92" s="139"/>
      <c r="G92" s="139"/>
      <c r="H92" s="140" t="s">
        <v>44</v>
      </c>
      <c r="I92" s="165"/>
      <c r="J92" s="166"/>
      <c r="K92" s="166"/>
      <c r="L92" s="167"/>
      <c r="M92" s="84" t="s">
        <v>45</v>
      </c>
      <c r="N92" s="67">
        <v>0</v>
      </c>
      <c r="O92" s="141">
        <v>46174</v>
      </c>
      <c r="P92" s="142">
        <v>46182</v>
      </c>
      <c r="Q92" s="66" t="s">
        <v>53</v>
      </c>
      <c r="R92" s="67">
        <v>0</v>
      </c>
      <c r="S92" s="141">
        <v>46195</v>
      </c>
      <c r="T92" s="142">
        <v>46206</v>
      </c>
      <c r="U92" s="66" t="s">
        <v>45</v>
      </c>
      <c r="V92" s="67">
        <v>0</v>
      </c>
      <c r="W92" s="141">
        <v>46216</v>
      </c>
      <c r="X92" s="142">
        <v>46219</v>
      </c>
      <c r="Y92" s="103"/>
      <c r="Z92" s="245"/>
      <c r="AA92" s="246"/>
      <c r="AB92" s="246"/>
      <c r="AC92" s="246"/>
      <c r="AD92" s="247"/>
      <c r="AE92" s="123"/>
      <c r="AF92" s="121"/>
      <c r="AG92" s="246"/>
      <c r="AH92" s="124"/>
      <c r="AI92" s="125"/>
      <c r="AJ92" s="126"/>
      <c r="AK92" s="246"/>
      <c r="AL92" s="263"/>
      <c r="AM92" s="246"/>
      <c r="AN92" s="247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 ht="16" customHeight="1">
      <c r="A93" s="65"/>
      <c r="B93" s="71"/>
      <c r="C93" s="136" t="s">
        <v>49</v>
      </c>
      <c r="D93" s="145"/>
      <c r="E93" s="144" t="s">
        <v>188</v>
      </c>
      <c r="F93" s="139" t="s">
        <v>189</v>
      </c>
      <c r="G93" s="139"/>
      <c r="H93" s="140" t="s">
        <v>44</v>
      </c>
      <c r="I93" s="165" t="s">
        <v>190</v>
      </c>
      <c r="J93" s="166"/>
      <c r="K93" s="166"/>
      <c r="L93" s="167"/>
      <c r="M93" s="84" t="s">
        <v>45</v>
      </c>
      <c r="N93" s="67">
        <v>0</v>
      </c>
      <c r="O93" s="141">
        <v>46174</v>
      </c>
      <c r="P93" s="142">
        <v>46182</v>
      </c>
      <c r="Q93" s="66" t="s">
        <v>53</v>
      </c>
      <c r="R93" s="67">
        <v>0</v>
      </c>
      <c r="S93" s="141">
        <v>46195</v>
      </c>
      <c r="T93" s="142">
        <v>46206</v>
      </c>
      <c r="U93" s="66" t="s">
        <v>45</v>
      </c>
      <c r="V93" s="67">
        <v>0</v>
      </c>
      <c r="W93" s="141">
        <v>46216</v>
      </c>
      <c r="X93" s="142">
        <v>46219</v>
      </c>
      <c r="Y93" s="103"/>
      <c r="Z93" s="245"/>
      <c r="AA93" s="246"/>
      <c r="AB93" s="246"/>
      <c r="AC93" s="246"/>
      <c r="AD93" s="247"/>
      <c r="AE93" s="123"/>
      <c r="AF93" s="121"/>
      <c r="AG93" s="246"/>
      <c r="AH93" s="124"/>
      <c r="AI93" s="125"/>
      <c r="AJ93" s="126"/>
      <c r="AK93" s="246"/>
      <c r="AL93" s="263"/>
      <c r="AM93" s="246"/>
      <c r="AN93" s="247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 ht="16" customHeight="1">
      <c r="A94" s="65"/>
      <c r="B94" s="71"/>
      <c r="C94" s="136" t="s">
        <v>95</v>
      </c>
      <c r="D94" s="145"/>
      <c r="E94" s="144" t="s">
        <v>188</v>
      </c>
      <c r="F94" s="139" t="s">
        <v>191</v>
      </c>
      <c r="G94" s="139"/>
      <c r="H94" s="140" t="s">
        <v>44</v>
      </c>
      <c r="I94" s="165"/>
      <c r="J94" s="166"/>
      <c r="K94" s="166"/>
      <c r="L94" s="167"/>
      <c r="M94" s="84" t="s">
        <v>45</v>
      </c>
      <c r="N94" s="67">
        <v>0</v>
      </c>
      <c r="O94" s="141">
        <v>46174</v>
      </c>
      <c r="P94" s="142">
        <v>46182</v>
      </c>
      <c r="Q94" s="66" t="s">
        <v>53</v>
      </c>
      <c r="R94" s="67">
        <v>0</v>
      </c>
      <c r="S94" s="141">
        <v>46195</v>
      </c>
      <c r="T94" s="142">
        <v>46206</v>
      </c>
      <c r="U94" s="66" t="s">
        <v>45</v>
      </c>
      <c r="V94" s="67">
        <v>0</v>
      </c>
      <c r="W94" s="141">
        <v>46216</v>
      </c>
      <c r="X94" s="142">
        <v>46219</v>
      </c>
      <c r="Y94" s="103"/>
      <c r="Z94" s="245"/>
      <c r="AA94" s="246"/>
      <c r="AB94" s="246"/>
      <c r="AC94" s="246"/>
      <c r="AD94" s="247"/>
      <c r="AE94" s="123"/>
      <c r="AF94" s="121"/>
      <c r="AG94" s="246"/>
      <c r="AH94" s="124"/>
      <c r="AI94" s="125"/>
      <c r="AJ94" s="126"/>
      <c r="AK94" s="246"/>
      <c r="AL94" s="263"/>
      <c r="AM94" s="246"/>
      <c r="AN94" s="247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 ht="16" customHeight="1">
      <c r="A95" s="65"/>
      <c r="B95" s="71"/>
      <c r="C95" s="136" t="s">
        <v>95</v>
      </c>
      <c r="D95" s="145"/>
      <c r="E95" s="144" t="s">
        <v>188</v>
      </c>
      <c r="F95" s="139" t="s">
        <v>192</v>
      </c>
      <c r="G95" s="139"/>
      <c r="H95" s="140" t="s">
        <v>44</v>
      </c>
      <c r="I95" s="165" t="s">
        <v>179</v>
      </c>
      <c r="J95" s="166"/>
      <c r="K95" s="166"/>
      <c r="L95" s="167"/>
      <c r="M95" s="84" t="s">
        <v>45</v>
      </c>
      <c r="N95" s="67">
        <v>0</v>
      </c>
      <c r="O95" s="141">
        <v>46174</v>
      </c>
      <c r="P95" s="142">
        <v>46182</v>
      </c>
      <c r="Q95" s="66" t="s">
        <v>53</v>
      </c>
      <c r="R95" s="67">
        <v>0</v>
      </c>
      <c r="S95" s="141">
        <v>46195</v>
      </c>
      <c r="T95" s="142">
        <v>46206</v>
      </c>
      <c r="U95" s="66" t="s">
        <v>45</v>
      </c>
      <c r="V95" s="67">
        <v>0</v>
      </c>
      <c r="W95" s="141">
        <v>46216</v>
      </c>
      <c r="X95" s="142">
        <v>46219</v>
      </c>
      <c r="Y95" s="103"/>
      <c r="Z95" s="245"/>
      <c r="AA95" s="246"/>
      <c r="AB95" s="246"/>
      <c r="AC95" s="246"/>
      <c r="AD95" s="247"/>
      <c r="AE95" s="123"/>
      <c r="AF95" s="121"/>
      <c r="AG95" s="246"/>
      <c r="AH95" s="124"/>
      <c r="AI95" s="125"/>
      <c r="AJ95" s="126"/>
      <c r="AK95" s="246"/>
      <c r="AL95" s="263"/>
      <c r="AM95" s="246"/>
      <c r="AN95" s="247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 ht="16" customHeight="1">
      <c r="A96" s="65"/>
      <c r="B96" s="71"/>
      <c r="C96" s="136" t="s">
        <v>60</v>
      </c>
      <c r="D96" s="145" t="s">
        <v>193</v>
      </c>
      <c r="E96" s="144" t="s">
        <v>194</v>
      </c>
      <c r="F96" s="139"/>
      <c r="G96" s="139"/>
      <c r="H96" s="140" t="s">
        <v>44</v>
      </c>
      <c r="I96" s="165"/>
      <c r="J96" s="166"/>
      <c r="K96" s="166"/>
      <c r="L96" s="167"/>
      <c r="M96" s="84" t="s">
        <v>45</v>
      </c>
      <c r="N96" s="67">
        <v>0</v>
      </c>
      <c r="O96" s="141">
        <v>46176</v>
      </c>
      <c r="P96" s="142">
        <v>46182</v>
      </c>
      <c r="Q96" s="66" t="s">
        <v>53</v>
      </c>
      <c r="R96" s="67">
        <v>0</v>
      </c>
      <c r="S96" s="141">
        <v>46202</v>
      </c>
      <c r="T96" s="142">
        <v>46206</v>
      </c>
      <c r="U96" s="66" t="s">
        <v>45</v>
      </c>
      <c r="V96" s="67">
        <v>0</v>
      </c>
      <c r="W96" s="141">
        <v>46217</v>
      </c>
      <c r="X96" s="142">
        <v>46219</v>
      </c>
      <c r="Y96" s="103"/>
      <c r="Z96" s="245"/>
      <c r="AA96" s="246"/>
      <c r="AB96" s="246"/>
      <c r="AC96" s="246"/>
      <c r="AD96" s="247"/>
      <c r="AE96" s="123"/>
      <c r="AF96" s="121"/>
      <c r="AG96" s="246"/>
      <c r="AH96" s="246"/>
      <c r="AI96" s="125"/>
      <c r="AJ96" s="126"/>
      <c r="AK96" s="246"/>
      <c r="AL96" s="263"/>
      <c r="AM96" s="246"/>
      <c r="AN96" s="247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 ht="16" customHeight="1">
      <c r="A97" s="65"/>
      <c r="B97" s="71"/>
      <c r="C97" s="136" t="s">
        <v>49</v>
      </c>
      <c r="D97" s="145"/>
      <c r="E97" s="144" t="s">
        <v>194</v>
      </c>
      <c r="F97" s="139" t="s">
        <v>195</v>
      </c>
      <c r="G97" s="139"/>
      <c r="H97" s="140" t="s">
        <v>44</v>
      </c>
      <c r="I97" s="165"/>
      <c r="J97" s="166"/>
      <c r="K97" s="166"/>
      <c r="L97" s="167"/>
      <c r="M97" s="84" t="s">
        <v>45</v>
      </c>
      <c r="N97" s="67">
        <v>0</v>
      </c>
      <c r="O97" s="141">
        <v>46176</v>
      </c>
      <c r="P97" s="142">
        <v>46182</v>
      </c>
      <c r="Q97" s="66" t="s">
        <v>53</v>
      </c>
      <c r="R97" s="67">
        <v>0</v>
      </c>
      <c r="S97" s="141">
        <v>46202</v>
      </c>
      <c r="T97" s="142">
        <v>46206</v>
      </c>
      <c r="U97" s="66" t="s">
        <v>45</v>
      </c>
      <c r="V97" s="67">
        <v>0</v>
      </c>
      <c r="W97" s="141">
        <v>46217</v>
      </c>
      <c r="X97" s="142">
        <v>46219</v>
      </c>
      <c r="Y97" s="103"/>
      <c r="Z97" s="245"/>
      <c r="AA97" s="246"/>
      <c r="AB97" s="246"/>
      <c r="AC97" s="246"/>
      <c r="AD97" s="247"/>
      <c r="AE97" s="123"/>
      <c r="AF97" s="121"/>
      <c r="AG97" s="246"/>
      <c r="AH97" s="246"/>
      <c r="AI97" s="125"/>
      <c r="AJ97" s="126"/>
      <c r="AK97" s="246"/>
      <c r="AL97" s="263"/>
      <c r="AM97" s="246"/>
      <c r="AN97" s="247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 ht="16" customHeight="1">
      <c r="A98" s="65"/>
      <c r="B98" s="71"/>
      <c r="C98" s="136" t="s">
        <v>124</v>
      </c>
      <c r="D98" s="145"/>
      <c r="E98" s="144" t="s">
        <v>194</v>
      </c>
      <c r="F98" s="139" t="s">
        <v>196</v>
      </c>
      <c r="G98" s="139"/>
      <c r="H98" s="140" t="s">
        <v>44</v>
      </c>
      <c r="I98" s="165"/>
      <c r="J98" s="166"/>
      <c r="K98" s="166"/>
      <c r="L98" s="167"/>
      <c r="M98" s="84" t="s">
        <v>45</v>
      </c>
      <c r="N98" s="67">
        <v>0</v>
      </c>
      <c r="O98" s="141">
        <v>46176</v>
      </c>
      <c r="P98" s="142">
        <v>46182</v>
      </c>
      <c r="Q98" s="66" t="s">
        <v>53</v>
      </c>
      <c r="R98" s="67">
        <v>0</v>
      </c>
      <c r="S98" s="141">
        <v>46202</v>
      </c>
      <c r="T98" s="142">
        <v>46206</v>
      </c>
      <c r="U98" s="66" t="s">
        <v>45</v>
      </c>
      <c r="V98" s="67">
        <v>0</v>
      </c>
      <c r="W98" s="141">
        <v>46217</v>
      </c>
      <c r="X98" s="142">
        <v>46219</v>
      </c>
      <c r="Y98" s="103"/>
      <c r="Z98" s="245"/>
      <c r="AA98" s="246"/>
      <c r="AB98" s="246"/>
      <c r="AC98" s="246"/>
      <c r="AD98" s="247"/>
      <c r="AE98" s="123"/>
      <c r="AF98" s="121"/>
      <c r="AG98" s="246"/>
      <c r="AH98" s="246"/>
      <c r="AI98" s="125"/>
      <c r="AJ98" s="126"/>
      <c r="AK98" s="246"/>
      <c r="AL98" s="263"/>
      <c r="AM98" s="246"/>
      <c r="AN98" s="247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 ht="16" customHeight="1">
      <c r="A99" s="65"/>
      <c r="B99" s="71"/>
      <c r="C99" s="136" t="s">
        <v>124</v>
      </c>
      <c r="D99" s="145"/>
      <c r="E99" s="144" t="s">
        <v>194</v>
      </c>
      <c r="F99" s="139" t="s">
        <v>197</v>
      </c>
      <c r="G99" s="139"/>
      <c r="H99" s="140" t="s">
        <v>44</v>
      </c>
      <c r="I99" s="165"/>
      <c r="J99" s="166"/>
      <c r="K99" s="166"/>
      <c r="L99" s="167"/>
      <c r="M99" s="84" t="s">
        <v>45</v>
      </c>
      <c r="N99" s="67">
        <v>0</v>
      </c>
      <c r="O99" s="141">
        <v>46176</v>
      </c>
      <c r="P99" s="142">
        <v>46182</v>
      </c>
      <c r="Q99" s="66" t="s">
        <v>53</v>
      </c>
      <c r="R99" s="67">
        <v>0</v>
      </c>
      <c r="S99" s="141">
        <v>46202</v>
      </c>
      <c r="T99" s="142">
        <v>46206</v>
      </c>
      <c r="U99" s="66" t="s">
        <v>45</v>
      </c>
      <c r="V99" s="67">
        <v>0</v>
      </c>
      <c r="W99" s="141">
        <v>46217</v>
      </c>
      <c r="X99" s="142">
        <v>46219</v>
      </c>
      <c r="Y99" s="103"/>
      <c r="Z99" s="245"/>
      <c r="AA99" s="246"/>
      <c r="AB99" s="246"/>
      <c r="AC99" s="246"/>
      <c r="AD99" s="247"/>
      <c r="AE99" s="123"/>
      <c r="AF99" s="121"/>
      <c r="AG99" s="246"/>
      <c r="AH99" s="246"/>
      <c r="AI99" s="125"/>
      <c r="AJ99" s="126"/>
      <c r="AK99" s="246"/>
      <c r="AL99" s="263"/>
      <c r="AM99" s="246"/>
      <c r="AN99" s="247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 ht="16" customHeight="1">
      <c r="A100" s="65"/>
      <c r="B100" s="71"/>
      <c r="C100" s="136" t="s">
        <v>60</v>
      </c>
      <c r="D100" s="145"/>
      <c r="E100" s="144" t="s">
        <v>198</v>
      </c>
      <c r="F100" s="139"/>
      <c r="G100" s="139"/>
      <c r="H100" s="140" t="s">
        <v>44</v>
      </c>
      <c r="I100" s="165" t="s">
        <v>199</v>
      </c>
      <c r="J100" s="166"/>
      <c r="K100" s="166"/>
      <c r="L100" s="167"/>
      <c r="M100" s="84" t="s">
        <v>45</v>
      </c>
      <c r="N100" s="67">
        <v>0</v>
      </c>
      <c r="O100" s="141">
        <v>46176</v>
      </c>
      <c r="P100" s="142">
        <v>46182</v>
      </c>
      <c r="Q100" s="66" t="s">
        <v>53</v>
      </c>
      <c r="R100" s="67">
        <v>0</v>
      </c>
      <c r="S100" s="141">
        <v>46202</v>
      </c>
      <c r="T100" s="142">
        <v>46206</v>
      </c>
      <c r="U100" s="66" t="s">
        <v>45</v>
      </c>
      <c r="V100" s="67">
        <v>0</v>
      </c>
      <c r="W100" s="141">
        <v>46217</v>
      </c>
      <c r="X100" s="142">
        <v>46219</v>
      </c>
      <c r="Y100" s="103"/>
      <c r="Z100" s="245"/>
      <c r="AA100" s="246"/>
      <c r="AB100" s="246"/>
      <c r="AC100" s="246"/>
      <c r="AD100" s="247"/>
      <c r="AE100" s="123"/>
      <c r="AF100" s="121"/>
      <c r="AG100" s="246"/>
      <c r="AH100" s="246"/>
      <c r="AI100" s="125"/>
      <c r="AJ100" s="126"/>
      <c r="AK100" s="246"/>
      <c r="AL100" s="263"/>
      <c r="AM100" s="246"/>
      <c r="AN100" s="247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 ht="16" customHeight="1">
      <c r="A101" s="65"/>
      <c r="B101" s="71"/>
      <c r="C101" s="136" t="s">
        <v>49</v>
      </c>
      <c r="D101" s="145"/>
      <c r="E101" s="144" t="s">
        <v>198</v>
      </c>
      <c r="F101" s="139" t="s">
        <v>200</v>
      </c>
      <c r="G101" s="139"/>
      <c r="H101" s="140" t="s">
        <v>44</v>
      </c>
      <c r="I101" s="165"/>
      <c r="J101" s="166"/>
      <c r="K101" s="166"/>
      <c r="L101" s="167"/>
      <c r="M101" s="84" t="s">
        <v>45</v>
      </c>
      <c r="N101" s="67">
        <v>0</v>
      </c>
      <c r="O101" s="141">
        <v>46176</v>
      </c>
      <c r="P101" s="142">
        <v>46182</v>
      </c>
      <c r="Q101" s="66" t="s">
        <v>53</v>
      </c>
      <c r="R101" s="67">
        <v>0</v>
      </c>
      <c r="S101" s="141">
        <v>46202</v>
      </c>
      <c r="T101" s="142">
        <v>46206</v>
      </c>
      <c r="U101" s="66" t="s">
        <v>45</v>
      </c>
      <c r="V101" s="67">
        <v>0</v>
      </c>
      <c r="W101" s="141">
        <v>46217</v>
      </c>
      <c r="X101" s="142">
        <v>46219</v>
      </c>
      <c r="Y101" s="103"/>
      <c r="Z101" s="245"/>
      <c r="AA101" s="246"/>
      <c r="AB101" s="246"/>
      <c r="AC101" s="246"/>
      <c r="AD101" s="247"/>
      <c r="AE101" s="123"/>
      <c r="AF101" s="121"/>
      <c r="AG101" s="246"/>
      <c r="AH101" s="246"/>
      <c r="AI101" s="125"/>
      <c r="AJ101" s="126"/>
      <c r="AK101" s="246"/>
      <c r="AL101" s="263"/>
      <c r="AM101" s="246"/>
      <c r="AN101" s="247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 ht="16" customHeight="1">
      <c r="A102" s="65"/>
      <c r="B102" s="71"/>
      <c r="C102" s="136" t="s">
        <v>124</v>
      </c>
      <c r="D102" s="145"/>
      <c r="E102" s="144" t="s">
        <v>198</v>
      </c>
      <c r="F102" s="139" t="s">
        <v>201</v>
      </c>
      <c r="G102" s="139"/>
      <c r="H102" s="140" t="s">
        <v>44</v>
      </c>
      <c r="I102" s="165"/>
      <c r="J102" s="166"/>
      <c r="K102" s="166"/>
      <c r="L102" s="167"/>
      <c r="M102" s="84" t="s">
        <v>45</v>
      </c>
      <c r="N102" s="67">
        <v>0</v>
      </c>
      <c r="O102" s="141">
        <v>46176</v>
      </c>
      <c r="P102" s="142">
        <v>46182</v>
      </c>
      <c r="Q102" s="66" t="s">
        <v>53</v>
      </c>
      <c r="R102" s="67">
        <v>0</v>
      </c>
      <c r="S102" s="141">
        <v>46202</v>
      </c>
      <c r="T102" s="142">
        <v>46206</v>
      </c>
      <c r="U102" s="66" t="s">
        <v>45</v>
      </c>
      <c r="V102" s="67">
        <v>0</v>
      </c>
      <c r="W102" s="141">
        <v>46217</v>
      </c>
      <c r="X102" s="142">
        <v>46219</v>
      </c>
      <c r="Y102" s="103"/>
      <c r="Z102" s="245"/>
      <c r="AA102" s="246"/>
      <c r="AB102" s="246"/>
      <c r="AC102" s="246"/>
      <c r="AD102" s="247"/>
      <c r="AE102" s="123"/>
      <c r="AF102" s="121"/>
      <c r="AG102" s="246"/>
      <c r="AH102" s="246"/>
      <c r="AI102" s="125"/>
      <c r="AJ102" s="126"/>
      <c r="AK102" s="246"/>
      <c r="AL102" s="263"/>
      <c r="AM102" s="246"/>
      <c r="AN102" s="247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 ht="16" customHeight="1">
      <c r="A103" s="65"/>
      <c r="B103" s="71"/>
      <c r="C103" s="136" t="s">
        <v>60</v>
      </c>
      <c r="D103" s="145" t="s">
        <v>202</v>
      </c>
      <c r="E103" s="144" t="s">
        <v>203</v>
      </c>
      <c r="F103" s="139"/>
      <c r="G103" s="139"/>
      <c r="H103" s="140" t="s">
        <v>44</v>
      </c>
      <c r="I103" s="165" t="s">
        <v>204</v>
      </c>
      <c r="J103" s="166"/>
      <c r="K103" s="166"/>
      <c r="L103" s="167"/>
      <c r="M103" s="84" t="s">
        <v>45</v>
      </c>
      <c r="N103" s="67">
        <v>0</v>
      </c>
      <c r="O103" s="141">
        <v>46177</v>
      </c>
      <c r="P103" s="142">
        <v>46183</v>
      </c>
      <c r="Q103" s="66" t="s">
        <v>53</v>
      </c>
      <c r="R103" s="67">
        <v>0</v>
      </c>
      <c r="S103" s="141">
        <v>46204</v>
      </c>
      <c r="T103" s="142">
        <v>46211</v>
      </c>
      <c r="U103" s="66" t="s">
        <v>45</v>
      </c>
      <c r="V103" s="67">
        <v>0</v>
      </c>
      <c r="W103" s="141">
        <v>46217</v>
      </c>
      <c r="X103" s="142">
        <v>46219</v>
      </c>
      <c r="Y103" s="103"/>
      <c r="Z103" s="245"/>
      <c r="AA103" s="246"/>
      <c r="AB103" s="246"/>
      <c r="AC103" s="246"/>
      <c r="AD103" s="247"/>
      <c r="AE103" s="123"/>
      <c r="AF103" s="121"/>
      <c r="AG103" s="246"/>
      <c r="AH103" s="246"/>
      <c r="AI103" s="247"/>
      <c r="AJ103" s="126"/>
      <c r="AK103" s="124"/>
      <c r="AL103" s="263"/>
      <c r="AM103" s="246"/>
      <c r="AN103" s="247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 ht="16" customHeight="1">
      <c r="A104" s="65"/>
      <c r="B104" s="71"/>
      <c r="C104" s="136" t="s">
        <v>124</v>
      </c>
      <c r="D104" s="145"/>
      <c r="E104" s="144" t="s">
        <v>203</v>
      </c>
      <c r="F104" s="139" t="s">
        <v>205</v>
      </c>
      <c r="G104" s="139"/>
      <c r="H104" s="140" t="s">
        <v>44</v>
      </c>
      <c r="I104" s="165"/>
      <c r="J104" s="166"/>
      <c r="K104" s="166"/>
      <c r="L104" s="167"/>
      <c r="M104" s="84" t="s">
        <v>45</v>
      </c>
      <c r="N104" s="67">
        <v>0</v>
      </c>
      <c r="O104" s="141">
        <v>46177</v>
      </c>
      <c r="P104" s="142">
        <v>46183</v>
      </c>
      <c r="Q104" s="66" t="s">
        <v>53</v>
      </c>
      <c r="R104" s="67">
        <v>0</v>
      </c>
      <c r="S104" s="141">
        <v>46204</v>
      </c>
      <c r="T104" s="142">
        <v>46211</v>
      </c>
      <c r="U104" s="66" t="s">
        <v>45</v>
      </c>
      <c r="V104" s="67">
        <v>0</v>
      </c>
      <c r="W104" s="141">
        <v>46217</v>
      </c>
      <c r="X104" s="142">
        <v>46219</v>
      </c>
      <c r="Y104" s="103"/>
      <c r="Z104" s="245"/>
      <c r="AA104" s="246"/>
      <c r="AB104" s="246"/>
      <c r="AC104" s="246"/>
      <c r="AD104" s="247"/>
      <c r="AE104" s="123"/>
      <c r="AF104" s="121"/>
      <c r="AG104" s="246"/>
      <c r="AH104" s="246"/>
      <c r="AI104" s="247"/>
      <c r="AJ104" s="126"/>
      <c r="AK104" s="124"/>
      <c r="AL104" s="263"/>
      <c r="AM104" s="246"/>
      <c r="AN104" s="247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 ht="16" customHeight="1">
      <c r="A105" s="65"/>
      <c r="B105" s="71"/>
      <c r="C105" s="136" t="s">
        <v>124</v>
      </c>
      <c r="D105" s="145"/>
      <c r="E105" s="144" t="s">
        <v>203</v>
      </c>
      <c r="F105" s="139" t="s">
        <v>206</v>
      </c>
      <c r="G105" s="139"/>
      <c r="H105" s="140" t="s">
        <v>44</v>
      </c>
      <c r="I105" s="165"/>
      <c r="J105" s="166"/>
      <c r="K105" s="166"/>
      <c r="L105" s="167"/>
      <c r="M105" s="84" t="s">
        <v>45</v>
      </c>
      <c r="N105" s="67">
        <v>0</v>
      </c>
      <c r="O105" s="141">
        <v>46177</v>
      </c>
      <c r="P105" s="142">
        <v>46183</v>
      </c>
      <c r="Q105" s="66" t="s">
        <v>53</v>
      </c>
      <c r="R105" s="67">
        <v>0</v>
      </c>
      <c r="S105" s="141">
        <v>46204</v>
      </c>
      <c r="T105" s="142">
        <v>46211</v>
      </c>
      <c r="U105" s="66" t="s">
        <v>45</v>
      </c>
      <c r="V105" s="67">
        <v>0</v>
      </c>
      <c r="W105" s="141">
        <v>46217</v>
      </c>
      <c r="X105" s="142">
        <v>46219</v>
      </c>
      <c r="Y105" s="103"/>
      <c r="Z105" s="245"/>
      <c r="AA105" s="246"/>
      <c r="AB105" s="246"/>
      <c r="AC105" s="246"/>
      <c r="AD105" s="247"/>
      <c r="AE105" s="123"/>
      <c r="AF105" s="121"/>
      <c r="AG105" s="246"/>
      <c r="AH105" s="246"/>
      <c r="AI105" s="247"/>
      <c r="AJ105" s="126"/>
      <c r="AK105" s="124"/>
      <c r="AL105" s="263"/>
      <c r="AM105" s="246"/>
      <c r="AN105" s="247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 ht="16" customHeight="1">
      <c r="A106" s="65"/>
      <c r="B106" s="71"/>
      <c r="C106" s="136" t="s">
        <v>95</v>
      </c>
      <c r="D106" s="145"/>
      <c r="E106" s="144" t="s">
        <v>203</v>
      </c>
      <c r="F106" s="139" t="s">
        <v>207</v>
      </c>
      <c r="G106" s="139"/>
      <c r="H106" s="140" t="s">
        <v>44</v>
      </c>
      <c r="I106" s="165"/>
      <c r="J106" s="166"/>
      <c r="K106" s="166"/>
      <c r="L106" s="167"/>
      <c r="M106" s="84" t="s">
        <v>45</v>
      </c>
      <c r="N106" s="67">
        <v>0</v>
      </c>
      <c r="O106" s="141">
        <v>46177</v>
      </c>
      <c r="P106" s="142">
        <v>46183</v>
      </c>
      <c r="Q106" s="66" t="s">
        <v>53</v>
      </c>
      <c r="R106" s="67">
        <v>0</v>
      </c>
      <c r="S106" s="141">
        <v>46204</v>
      </c>
      <c r="T106" s="142">
        <v>46211</v>
      </c>
      <c r="U106" s="66" t="s">
        <v>45</v>
      </c>
      <c r="V106" s="67">
        <v>0</v>
      </c>
      <c r="W106" s="141">
        <v>46217</v>
      </c>
      <c r="X106" s="142">
        <v>46219</v>
      </c>
      <c r="Y106" s="103"/>
      <c r="Z106" s="245"/>
      <c r="AA106" s="246"/>
      <c r="AB106" s="246"/>
      <c r="AC106" s="246"/>
      <c r="AD106" s="247"/>
      <c r="AE106" s="123"/>
      <c r="AF106" s="121"/>
      <c r="AG106" s="246"/>
      <c r="AH106" s="246"/>
      <c r="AI106" s="247"/>
      <c r="AJ106" s="126"/>
      <c r="AK106" s="124"/>
      <c r="AL106" s="263"/>
      <c r="AM106" s="246"/>
      <c r="AN106" s="247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 ht="16" customHeight="1">
      <c r="A107" s="102"/>
      <c r="B107" s="71"/>
      <c r="C107" s="136" t="s">
        <v>49</v>
      </c>
      <c r="D107" s="145"/>
      <c r="E107" s="139" t="s">
        <v>203</v>
      </c>
      <c r="F107" s="139" t="s">
        <v>208</v>
      </c>
      <c r="G107" s="139"/>
      <c r="H107" s="140" t="s">
        <v>44</v>
      </c>
      <c r="I107" s="165"/>
      <c r="J107" s="166"/>
      <c r="K107" s="166"/>
      <c r="L107" s="167"/>
      <c r="M107" s="84" t="s">
        <v>45</v>
      </c>
      <c r="N107" s="67">
        <v>0</v>
      </c>
      <c r="O107" s="141">
        <v>46177</v>
      </c>
      <c r="P107" s="142">
        <v>46183</v>
      </c>
      <c r="Q107" s="66" t="s">
        <v>53</v>
      </c>
      <c r="R107" s="67">
        <v>0</v>
      </c>
      <c r="S107" s="141">
        <v>46204</v>
      </c>
      <c r="T107" s="142">
        <v>46211</v>
      </c>
      <c r="U107" s="66" t="s">
        <v>45</v>
      </c>
      <c r="V107" s="67">
        <v>0</v>
      </c>
      <c r="W107" s="141">
        <v>46217</v>
      </c>
      <c r="X107" s="142">
        <v>46219</v>
      </c>
      <c r="Y107" s="103"/>
      <c r="Z107" s="249"/>
      <c r="AA107" s="244"/>
      <c r="AB107" s="244"/>
      <c r="AC107" s="244"/>
      <c r="AD107" s="250"/>
      <c r="AE107" s="251"/>
      <c r="AF107" s="252"/>
      <c r="AG107" s="244"/>
      <c r="AH107" s="244"/>
      <c r="AI107" s="250"/>
      <c r="AJ107" s="258"/>
      <c r="AK107" s="259"/>
      <c r="AL107" s="127"/>
      <c r="AM107" s="244"/>
      <c r="AN107" s="250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 ht="16" customHeight="1">
      <c r="A108" s="102"/>
      <c r="B108" s="71"/>
      <c r="C108" s="136" t="s">
        <v>60</v>
      </c>
      <c r="D108" s="145"/>
      <c r="E108" s="139" t="s">
        <v>209</v>
      </c>
      <c r="F108" s="139"/>
      <c r="G108" s="139"/>
      <c r="H108" s="140" t="s">
        <v>44</v>
      </c>
      <c r="I108" s="165"/>
      <c r="J108" s="166"/>
      <c r="K108" s="166"/>
      <c r="L108" s="167"/>
      <c r="M108" s="84" t="s">
        <v>45</v>
      </c>
      <c r="N108" s="67">
        <v>0</v>
      </c>
      <c r="O108" s="141">
        <v>46177</v>
      </c>
      <c r="P108" s="142">
        <v>46183</v>
      </c>
      <c r="Q108" s="66" t="s">
        <v>53</v>
      </c>
      <c r="R108" s="67">
        <v>0</v>
      </c>
      <c r="S108" s="141">
        <v>46204</v>
      </c>
      <c r="T108" s="142">
        <v>46211</v>
      </c>
      <c r="U108" s="66" t="s">
        <v>45</v>
      </c>
      <c r="V108" s="67">
        <v>0</v>
      </c>
      <c r="W108" s="141">
        <v>46217</v>
      </c>
      <c r="X108" s="142">
        <v>46219</v>
      </c>
      <c r="Y108" s="103"/>
      <c r="Z108" s="249"/>
      <c r="AA108" s="244"/>
      <c r="AB108" s="244"/>
      <c r="AC108" s="244"/>
      <c r="AD108" s="250"/>
      <c r="AE108" s="251"/>
      <c r="AF108" s="252"/>
      <c r="AG108" s="244"/>
      <c r="AH108" s="244"/>
      <c r="AI108" s="250"/>
      <c r="AJ108" s="258"/>
      <c r="AK108" s="259"/>
      <c r="AL108" s="127"/>
      <c r="AM108" s="244"/>
      <c r="AN108" s="250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 ht="16" customHeight="1">
      <c r="A109" s="9"/>
      <c r="B109" s="71"/>
      <c r="C109" s="136" t="s">
        <v>124</v>
      </c>
      <c r="D109" s="145"/>
      <c r="E109" s="139" t="s">
        <v>209</v>
      </c>
      <c r="F109" s="139" t="s">
        <v>210</v>
      </c>
      <c r="G109" s="139"/>
      <c r="H109" s="140" t="s">
        <v>44</v>
      </c>
      <c r="I109" s="165"/>
      <c r="J109" s="166"/>
      <c r="K109" s="166"/>
      <c r="L109" s="167"/>
      <c r="M109" s="84" t="s">
        <v>45</v>
      </c>
      <c r="N109" s="67">
        <v>0</v>
      </c>
      <c r="O109" s="151">
        <v>46177</v>
      </c>
      <c r="P109" s="152">
        <v>46183</v>
      </c>
      <c r="Q109" s="66" t="s">
        <v>53</v>
      </c>
      <c r="R109" s="67">
        <v>0</v>
      </c>
      <c r="S109" s="72">
        <v>46204</v>
      </c>
      <c r="T109" s="112">
        <v>46211</v>
      </c>
      <c r="U109" s="66" t="s">
        <v>45</v>
      </c>
      <c r="V109" s="67">
        <v>0</v>
      </c>
      <c r="W109" s="141">
        <v>46217</v>
      </c>
      <c r="X109" s="142">
        <v>46219</v>
      </c>
      <c r="Y109" s="103"/>
      <c r="Z109" s="249"/>
      <c r="AA109" s="244"/>
      <c r="AB109" s="244"/>
      <c r="AC109" s="244"/>
      <c r="AD109" s="250"/>
      <c r="AE109" s="251"/>
      <c r="AF109" s="252"/>
      <c r="AG109" s="244"/>
      <c r="AH109" s="244"/>
      <c r="AI109" s="250"/>
      <c r="AJ109" s="258"/>
      <c r="AK109" s="259"/>
      <c r="AL109" s="127"/>
      <c r="AM109" s="244"/>
      <c r="AN109" s="250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 ht="16" customHeight="1">
      <c r="A110" s="9"/>
      <c r="B110" s="71"/>
      <c r="C110" s="136" t="s">
        <v>124</v>
      </c>
      <c r="D110" s="145"/>
      <c r="E110" s="139" t="s">
        <v>209</v>
      </c>
      <c r="F110" s="139" t="s">
        <v>211</v>
      </c>
      <c r="G110" s="139"/>
      <c r="H110" s="140" t="s">
        <v>44</v>
      </c>
      <c r="I110" s="165"/>
      <c r="J110" s="166"/>
      <c r="K110" s="166"/>
      <c r="L110" s="167"/>
      <c r="M110" s="84" t="s">
        <v>45</v>
      </c>
      <c r="N110" s="67">
        <v>0</v>
      </c>
      <c r="O110" s="151">
        <v>46177</v>
      </c>
      <c r="P110" s="152">
        <v>46183</v>
      </c>
      <c r="Q110" s="66" t="s">
        <v>53</v>
      </c>
      <c r="R110" s="67">
        <v>0</v>
      </c>
      <c r="S110" s="72">
        <v>46204</v>
      </c>
      <c r="T110" s="112">
        <v>46211</v>
      </c>
      <c r="U110" s="66" t="s">
        <v>45</v>
      </c>
      <c r="V110" s="67">
        <v>0</v>
      </c>
      <c r="W110" s="141">
        <v>46217</v>
      </c>
      <c r="X110" s="142">
        <v>46219</v>
      </c>
      <c r="Y110" s="103"/>
      <c r="Z110" s="113"/>
      <c r="AA110" s="114"/>
      <c r="AB110" s="114"/>
      <c r="AC110" s="114"/>
      <c r="AD110" s="115"/>
      <c r="AE110" s="251"/>
      <c r="AF110" s="252"/>
      <c r="AG110" s="114"/>
      <c r="AH110" s="114"/>
      <c r="AI110" s="115"/>
      <c r="AJ110" s="258"/>
      <c r="AK110" s="259"/>
      <c r="AL110" s="127"/>
      <c r="AM110" s="114"/>
      <c r="AN110" s="115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 ht="16" customHeight="1">
      <c r="A111" s="9"/>
      <c r="B111" s="71"/>
      <c r="C111" s="136" t="s">
        <v>95</v>
      </c>
      <c r="D111" s="145"/>
      <c r="E111" s="139" t="s">
        <v>209</v>
      </c>
      <c r="F111" s="139" t="s">
        <v>212</v>
      </c>
      <c r="G111" s="139"/>
      <c r="H111" s="140" t="s">
        <v>44</v>
      </c>
      <c r="I111" s="165"/>
      <c r="J111" s="166"/>
      <c r="K111" s="166"/>
      <c r="L111" s="167"/>
      <c r="M111" s="84" t="s">
        <v>45</v>
      </c>
      <c r="N111" s="67">
        <v>0</v>
      </c>
      <c r="O111" s="151">
        <v>46177</v>
      </c>
      <c r="P111" s="152">
        <v>46183</v>
      </c>
      <c r="Q111" s="66" t="s">
        <v>53</v>
      </c>
      <c r="R111" s="67">
        <v>0</v>
      </c>
      <c r="S111" s="72">
        <v>46204</v>
      </c>
      <c r="T111" s="112">
        <v>46211</v>
      </c>
      <c r="U111" s="66" t="s">
        <v>45</v>
      </c>
      <c r="V111" s="67">
        <v>0</v>
      </c>
      <c r="W111" s="141">
        <v>46217</v>
      </c>
      <c r="X111" s="142">
        <v>46219</v>
      </c>
      <c r="Y111" s="103"/>
      <c r="Z111" s="113"/>
      <c r="AA111" s="114"/>
      <c r="AB111" s="114"/>
      <c r="AC111" s="114"/>
      <c r="AD111" s="115"/>
      <c r="AE111" s="251"/>
      <c r="AF111" s="252"/>
      <c r="AG111" s="114"/>
      <c r="AH111" s="114"/>
      <c r="AI111" s="115"/>
      <c r="AJ111" s="258"/>
      <c r="AK111" s="259"/>
      <c r="AL111" s="127"/>
      <c r="AM111" s="114"/>
      <c r="AN111" s="115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 ht="16" customHeight="1">
      <c r="A112" s="9"/>
      <c r="B112" s="71"/>
      <c r="C112" s="136" t="s">
        <v>49</v>
      </c>
      <c r="D112" s="145"/>
      <c r="E112" s="139" t="s">
        <v>209</v>
      </c>
      <c r="F112" s="139" t="s">
        <v>208</v>
      </c>
      <c r="G112" s="139"/>
      <c r="H112" s="140" t="s">
        <v>44</v>
      </c>
      <c r="I112" s="165"/>
      <c r="J112" s="166"/>
      <c r="K112" s="166"/>
      <c r="L112" s="167"/>
      <c r="M112" s="84" t="s">
        <v>45</v>
      </c>
      <c r="N112" s="67">
        <v>0</v>
      </c>
      <c r="O112" s="151">
        <v>46177</v>
      </c>
      <c r="P112" s="152">
        <v>46183</v>
      </c>
      <c r="Q112" s="66" t="s">
        <v>53</v>
      </c>
      <c r="R112" s="67">
        <v>0</v>
      </c>
      <c r="S112" s="72">
        <v>46204</v>
      </c>
      <c r="T112" s="112">
        <v>46211</v>
      </c>
      <c r="U112" s="66" t="s">
        <v>45</v>
      </c>
      <c r="V112" s="67">
        <v>0</v>
      </c>
      <c r="W112" s="141">
        <v>46217</v>
      </c>
      <c r="X112" s="142">
        <v>46219</v>
      </c>
      <c r="Y112" s="103"/>
      <c r="Z112" s="113"/>
      <c r="AA112" s="114"/>
      <c r="AB112" s="114"/>
      <c r="AC112" s="114"/>
      <c r="AD112" s="115"/>
      <c r="AE112" s="251"/>
      <c r="AF112" s="252"/>
      <c r="AG112" s="114"/>
      <c r="AH112" s="114"/>
      <c r="AI112" s="115"/>
      <c r="AJ112" s="258"/>
      <c r="AK112" s="259"/>
      <c r="AL112" s="127"/>
      <c r="AM112" s="114"/>
      <c r="AN112" s="115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 ht="16" customHeight="1">
      <c r="A113" s="9"/>
      <c r="B113" s="71"/>
      <c r="C113" s="136" t="s">
        <v>60</v>
      </c>
      <c r="D113" s="145"/>
      <c r="E113" s="139" t="s">
        <v>213</v>
      </c>
      <c r="F113" s="139"/>
      <c r="G113" s="139"/>
      <c r="H113" s="140" t="s">
        <v>44</v>
      </c>
      <c r="I113" s="165" t="s">
        <v>214</v>
      </c>
      <c r="J113" s="166"/>
      <c r="K113" s="166"/>
      <c r="L113" s="167"/>
      <c r="M113" s="84" t="s">
        <v>45</v>
      </c>
      <c r="N113" s="67">
        <v>0</v>
      </c>
      <c r="O113" s="151">
        <v>46177</v>
      </c>
      <c r="P113" s="152">
        <v>46183</v>
      </c>
      <c r="Q113" s="66" t="s">
        <v>53</v>
      </c>
      <c r="R113" s="67">
        <v>0</v>
      </c>
      <c r="S113" s="72">
        <v>46204</v>
      </c>
      <c r="T113" s="112">
        <v>46211</v>
      </c>
      <c r="U113" s="66" t="s">
        <v>45</v>
      </c>
      <c r="V113" s="67">
        <v>0</v>
      </c>
      <c r="W113" s="141">
        <v>46217</v>
      </c>
      <c r="X113" s="142">
        <v>46219</v>
      </c>
      <c r="Y113" s="103"/>
      <c r="Z113" s="113"/>
      <c r="AA113" s="114"/>
      <c r="AB113" s="114"/>
      <c r="AC113" s="114"/>
      <c r="AD113" s="115"/>
      <c r="AE113" s="251"/>
      <c r="AF113" s="252"/>
      <c r="AG113" s="114"/>
      <c r="AH113" s="114"/>
      <c r="AI113" s="115"/>
      <c r="AJ113" s="258"/>
      <c r="AK113" s="259"/>
      <c r="AL113" s="127"/>
      <c r="AM113" s="114"/>
      <c r="AN113" s="115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 ht="16" customHeight="1">
      <c r="A114" s="9"/>
      <c r="B114" s="71"/>
      <c r="C114" s="136" t="s">
        <v>49</v>
      </c>
      <c r="D114" s="145"/>
      <c r="E114" s="139" t="s">
        <v>213</v>
      </c>
      <c r="F114" s="139" t="s">
        <v>215</v>
      </c>
      <c r="G114" s="139"/>
      <c r="H114" s="140" t="s">
        <v>44</v>
      </c>
      <c r="I114" s="165" t="s">
        <v>216</v>
      </c>
      <c r="J114" s="166"/>
      <c r="K114" s="166"/>
      <c r="L114" s="167"/>
      <c r="M114" s="84" t="s">
        <v>45</v>
      </c>
      <c r="N114" s="67">
        <v>0</v>
      </c>
      <c r="O114" s="151">
        <v>46177</v>
      </c>
      <c r="P114" s="152">
        <v>46183</v>
      </c>
      <c r="Q114" s="66" t="s">
        <v>53</v>
      </c>
      <c r="R114" s="67">
        <v>0</v>
      </c>
      <c r="S114" s="72">
        <v>46204</v>
      </c>
      <c r="T114" s="112">
        <v>46211</v>
      </c>
      <c r="U114" s="66" t="s">
        <v>45</v>
      </c>
      <c r="V114" s="67">
        <v>0</v>
      </c>
      <c r="W114" s="141">
        <v>46217</v>
      </c>
      <c r="X114" s="142">
        <v>46219</v>
      </c>
      <c r="Y114" s="103"/>
      <c r="Z114" s="113"/>
      <c r="AA114" s="114"/>
      <c r="AB114" s="114"/>
      <c r="AC114" s="114"/>
      <c r="AD114" s="115"/>
      <c r="AE114" s="251"/>
      <c r="AF114" s="252"/>
      <c r="AG114" s="114"/>
      <c r="AH114" s="114"/>
      <c r="AI114" s="115"/>
      <c r="AJ114" s="258"/>
      <c r="AK114" s="259"/>
      <c r="AL114" s="127"/>
      <c r="AM114" s="114"/>
      <c r="AN114" s="115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 ht="16" customHeight="1">
      <c r="A115" s="9"/>
      <c r="B115" s="71"/>
      <c r="C115" s="136" t="s">
        <v>124</v>
      </c>
      <c r="D115" s="145"/>
      <c r="E115" s="139" t="s">
        <v>213</v>
      </c>
      <c r="F115" s="139" t="s">
        <v>217</v>
      </c>
      <c r="G115" s="139"/>
      <c r="H115" s="140" t="s">
        <v>44</v>
      </c>
      <c r="I115" s="165"/>
      <c r="J115" s="166"/>
      <c r="K115" s="166"/>
      <c r="L115" s="167"/>
      <c r="M115" s="84" t="s">
        <v>45</v>
      </c>
      <c r="N115" s="67">
        <v>0</v>
      </c>
      <c r="O115" s="151">
        <v>46177</v>
      </c>
      <c r="P115" s="152">
        <v>46183</v>
      </c>
      <c r="Q115" s="66" t="s">
        <v>53</v>
      </c>
      <c r="R115" s="67">
        <v>0</v>
      </c>
      <c r="S115" s="72">
        <v>46204</v>
      </c>
      <c r="T115" s="112">
        <v>46211</v>
      </c>
      <c r="U115" s="66" t="s">
        <v>45</v>
      </c>
      <c r="V115" s="67">
        <v>0</v>
      </c>
      <c r="W115" s="141">
        <v>46217</v>
      </c>
      <c r="X115" s="142">
        <v>46219</v>
      </c>
      <c r="Y115" s="103"/>
      <c r="Z115" s="113"/>
      <c r="AA115" s="114"/>
      <c r="AB115" s="114"/>
      <c r="AC115" s="114"/>
      <c r="AD115" s="115"/>
      <c r="AE115" s="251"/>
      <c r="AF115" s="252"/>
      <c r="AG115" s="114"/>
      <c r="AH115" s="114"/>
      <c r="AI115" s="115"/>
      <c r="AJ115" s="258"/>
      <c r="AK115" s="259"/>
      <c r="AL115" s="127"/>
      <c r="AM115" s="114"/>
      <c r="AN115" s="115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 ht="16" customHeight="1">
      <c r="A116" s="9"/>
      <c r="B116" s="71"/>
      <c r="C116" s="136" t="s">
        <v>95</v>
      </c>
      <c r="D116" s="145"/>
      <c r="E116" s="139" t="s">
        <v>213</v>
      </c>
      <c r="F116" s="139" t="s">
        <v>218</v>
      </c>
      <c r="G116" s="139"/>
      <c r="H116" s="140" t="s">
        <v>44</v>
      </c>
      <c r="I116" s="165"/>
      <c r="J116" s="166"/>
      <c r="K116" s="166"/>
      <c r="L116" s="167"/>
      <c r="M116" s="84" t="s">
        <v>45</v>
      </c>
      <c r="N116" s="67">
        <v>0</v>
      </c>
      <c r="O116" s="151">
        <v>46177</v>
      </c>
      <c r="P116" s="152">
        <v>46183</v>
      </c>
      <c r="Q116" s="66" t="s">
        <v>53</v>
      </c>
      <c r="R116" s="67">
        <v>0</v>
      </c>
      <c r="S116" s="72">
        <v>46204</v>
      </c>
      <c r="T116" s="112">
        <v>46211</v>
      </c>
      <c r="U116" s="66" t="s">
        <v>45</v>
      </c>
      <c r="V116" s="67">
        <v>0</v>
      </c>
      <c r="W116" s="141">
        <v>46217</v>
      </c>
      <c r="X116" s="142">
        <v>46219</v>
      </c>
      <c r="Y116" s="103"/>
      <c r="Z116" s="113"/>
      <c r="AA116" s="114"/>
      <c r="AB116" s="114"/>
      <c r="AC116" s="114"/>
      <c r="AD116" s="115"/>
      <c r="AE116" s="251"/>
      <c r="AF116" s="252"/>
      <c r="AG116" s="114"/>
      <c r="AH116" s="114"/>
      <c r="AI116" s="115"/>
      <c r="AJ116" s="258"/>
      <c r="AK116" s="259"/>
      <c r="AL116" s="127"/>
      <c r="AM116" s="114"/>
      <c r="AN116" s="115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 ht="16" customHeight="1">
      <c r="A117" s="9"/>
      <c r="B117" s="71"/>
      <c r="C117" s="136" t="s">
        <v>60</v>
      </c>
      <c r="D117" s="145"/>
      <c r="E117" s="139" t="s">
        <v>219</v>
      </c>
      <c r="F117" s="139"/>
      <c r="G117" s="139"/>
      <c r="H117" s="140" t="s">
        <v>44</v>
      </c>
      <c r="I117" s="165" t="s">
        <v>214</v>
      </c>
      <c r="J117" s="166"/>
      <c r="K117" s="166"/>
      <c r="L117" s="167"/>
      <c r="M117" s="84" t="s">
        <v>45</v>
      </c>
      <c r="N117" s="67">
        <v>0</v>
      </c>
      <c r="O117" s="151">
        <v>46177</v>
      </c>
      <c r="P117" s="152">
        <v>46183</v>
      </c>
      <c r="Q117" s="66" t="s">
        <v>53</v>
      </c>
      <c r="R117" s="67">
        <v>0</v>
      </c>
      <c r="S117" s="72">
        <v>46204</v>
      </c>
      <c r="T117" s="112">
        <v>46211</v>
      </c>
      <c r="U117" s="66" t="s">
        <v>45</v>
      </c>
      <c r="V117" s="67">
        <v>0</v>
      </c>
      <c r="W117" s="141">
        <v>46217</v>
      </c>
      <c r="X117" s="142">
        <v>46219</v>
      </c>
      <c r="Y117" s="103"/>
      <c r="Z117" s="113"/>
      <c r="AA117" s="114"/>
      <c r="AB117" s="114"/>
      <c r="AC117" s="114"/>
      <c r="AD117" s="115"/>
      <c r="AE117" s="251"/>
      <c r="AF117" s="252"/>
      <c r="AG117" s="114"/>
      <c r="AH117" s="114"/>
      <c r="AI117" s="115"/>
      <c r="AJ117" s="258"/>
      <c r="AK117" s="259"/>
      <c r="AL117" s="127"/>
      <c r="AM117" s="114"/>
      <c r="AN117" s="115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 ht="16" customHeight="1">
      <c r="A118" s="9"/>
      <c r="B118" s="71"/>
      <c r="C118" s="136" t="s">
        <v>49</v>
      </c>
      <c r="D118" s="145"/>
      <c r="E118" s="139" t="s">
        <v>219</v>
      </c>
      <c r="F118" s="139" t="s">
        <v>215</v>
      </c>
      <c r="G118" s="139"/>
      <c r="H118" s="140" t="s">
        <v>44</v>
      </c>
      <c r="I118" s="165"/>
      <c r="J118" s="166"/>
      <c r="K118" s="166"/>
      <c r="L118" s="167"/>
      <c r="M118" s="84" t="s">
        <v>45</v>
      </c>
      <c r="N118" s="67">
        <v>0</v>
      </c>
      <c r="O118" s="151">
        <v>46177</v>
      </c>
      <c r="P118" s="152">
        <v>46183</v>
      </c>
      <c r="Q118" s="66" t="s">
        <v>53</v>
      </c>
      <c r="R118" s="67">
        <v>0</v>
      </c>
      <c r="S118" s="72">
        <v>46204</v>
      </c>
      <c r="T118" s="112">
        <v>46211</v>
      </c>
      <c r="U118" s="66" t="s">
        <v>45</v>
      </c>
      <c r="V118" s="67">
        <v>0</v>
      </c>
      <c r="W118" s="141">
        <v>46217</v>
      </c>
      <c r="X118" s="142">
        <v>46219</v>
      </c>
      <c r="Y118" s="103"/>
      <c r="Z118" s="113"/>
      <c r="AA118" s="114"/>
      <c r="AB118" s="114"/>
      <c r="AC118" s="114"/>
      <c r="AD118" s="115"/>
      <c r="AE118" s="251"/>
      <c r="AF118" s="252"/>
      <c r="AG118" s="114"/>
      <c r="AH118" s="114"/>
      <c r="AI118" s="115"/>
      <c r="AJ118" s="258"/>
      <c r="AK118" s="259"/>
      <c r="AL118" s="127"/>
      <c r="AM118" s="114"/>
      <c r="AN118" s="115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 ht="16" customHeight="1">
      <c r="A119" s="9"/>
      <c r="B119" s="71"/>
      <c r="C119" s="136" t="s">
        <v>124</v>
      </c>
      <c r="D119" s="145"/>
      <c r="E119" s="139" t="s">
        <v>219</v>
      </c>
      <c r="F119" s="139" t="s">
        <v>217</v>
      </c>
      <c r="G119" s="139"/>
      <c r="H119" s="140" t="s">
        <v>44</v>
      </c>
      <c r="I119" s="165"/>
      <c r="J119" s="166"/>
      <c r="K119" s="166"/>
      <c r="L119" s="167"/>
      <c r="M119" s="84" t="s">
        <v>45</v>
      </c>
      <c r="N119" s="67">
        <v>0</v>
      </c>
      <c r="O119" s="151">
        <v>46177</v>
      </c>
      <c r="P119" s="152">
        <v>46183</v>
      </c>
      <c r="Q119" s="66" t="s">
        <v>53</v>
      </c>
      <c r="R119" s="67">
        <v>0</v>
      </c>
      <c r="S119" s="72">
        <v>46204</v>
      </c>
      <c r="T119" s="112">
        <v>46211</v>
      </c>
      <c r="U119" s="66" t="s">
        <v>45</v>
      </c>
      <c r="V119" s="67">
        <v>0</v>
      </c>
      <c r="W119" s="141">
        <v>46217</v>
      </c>
      <c r="X119" s="142">
        <v>46219</v>
      </c>
      <c r="Y119" s="103"/>
      <c r="Z119" s="113"/>
      <c r="AA119" s="114"/>
      <c r="AB119" s="114"/>
      <c r="AC119" s="114"/>
      <c r="AD119" s="115"/>
      <c r="AE119" s="251"/>
      <c r="AF119" s="252"/>
      <c r="AG119" s="114"/>
      <c r="AH119" s="114"/>
      <c r="AI119" s="115"/>
      <c r="AJ119" s="258"/>
      <c r="AK119" s="259"/>
      <c r="AL119" s="127"/>
      <c r="AM119" s="114"/>
      <c r="AN119" s="115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 ht="16" customHeight="1">
      <c r="A120" s="9"/>
      <c r="B120" s="71"/>
      <c r="C120" s="136" t="s">
        <v>95</v>
      </c>
      <c r="D120" s="145"/>
      <c r="E120" s="139" t="s">
        <v>219</v>
      </c>
      <c r="F120" s="139" t="s">
        <v>218</v>
      </c>
      <c r="G120" s="139"/>
      <c r="H120" s="140" t="s">
        <v>44</v>
      </c>
      <c r="I120" s="165"/>
      <c r="J120" s="166"/>
      <c r="K120" s="166"/>
      <c r="L120" s="167"/>
      <c r="M120" s="84" t="s">
        <v>45</v>
      </c>
      <c r="N120" s="67">
        <v>0</v>
      </c>
      <c r="O120" s="151">
        <v>46177</v>
      </c>
      <c r="P120" s="152">
        <v>46183</v>
      </c>
      <c r="Q120" s="66" t="s">
        <v>53</v>
      </c>
      <c r="R120" s="67">
        <v>0</v>
      </c>
      <c r="S120" s="72">
        <v>46204</v>
      </c>
      <c r="T120" s="112">
        <v>46211</v>
      </c>
      <c r="U120" s="66" t="s">
        <v>45</v>
      </c>
      <c r="V120" s="67">
        <v>0</v>
      </c>
      <c r="W120" s="141">
        <v>46217</v>
      </c>
      <c r="X120" s="142">
        <v>46219</v>
      </c>
      <c r="Y120" s="103"/>
      <c r="Z120" s="113"/>
      <c r="AA120" s="114"/>
      <c r="AB120" s="114"/>
      <c r="AC120" s="114"/>
      <c r="AD120" s="115"/>
      <c r="AE120" s="251"/>
      <c r="AF120" s="252"/>
      <c r="AG120" s="114"/>
      <c r="AH120" s="114"/>
      <c r="AI120" s="115"/>
      <c r="AJ120" s="258"/>
      <c r="AK120" s="259"/>
      <c r="AL120" s="127"/>
      <c r="AM120" s="114"/>
      <c r="AN120" s="115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 ht="16" customHeight="1">
      <c r="A121" s="9"/>
      <c r="B121" s="71"/>
      <c r="C121" s="136" t="s">
        <v>60</v>
      </c>
      <c r="D121" s="145" t="s">
        <v>220</v>
      </c>
      <c r="E121" s="139" t="s">
        <v>221</v>
      </c>
      <c r="F121" s="139"/>
      <c r="G121" s="139"/>
      <c r="H121" s="140" t="s">
        <v>44</v>
      </c>
      <c r="I121" s="165"/>
      <c r="J121" s="166"/>
      <c r="K121" s="166"/>
      <c r="L121" s="167"/>
      <c r="M121" s="84" t="s">
        <v>45</v>
      </c>
      <c r="N121" s="67">
        <v>0</v>
      </c>
      <c r="O121" s="151">
        <v>46169</v>
      </c>
      <c r="P121" s="152">
        <v>46175</v>
      </c>
      <c r="Q121" s="66" t="s">
        <v>53</v>
      </c>
      <c r="R121" s="67">
        <v>0</v>
      </c>
      <c r="S121" s="72">
        <v>46188</v>
      </c>
      <c r="T121" s="112">
        <v>46199</v>
      </c>
      <c r="U121" s="66" t="s">
        <v>45</v>
      </c>
      <c r="V121" s="67">
        <v>0</v>
      </c>
      <c r="W121" s="141">
        <v>46216</v>
      </c>
      <c r="X121" s="142">
        <v>46218</v>
      </c>
      <c r="Y121" s="103"/>
      <c r="Z121" s="113"/>
      <c r="AA121" s="114"/>
      <c r="AB121" s="114"/>
      <c r="AC121" s="114"/>
      <c r="AD121" s="253"/>
      <c r="AE121" s="251"/>
      <c r="AF121" s="114"/>
      <c r="AG121" s="259"/>
      <c r="AH121" s="259"/>
      <c r="AI121" s="115"/>
      <c r="AJ121" s="116"/>
      <c r="AK121" s="114"/>
      <c r="AL121" s="127"/>
      <c r="AM121" s="114"/>
      <c r="AN121" s="115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 ht="16" customHeight="1">
      <c r="A122" s="9"/>
      <c r="B122" s="71"/>
      <c r="C122" s="136" t="s">
        <v>49</v>
      </c>
      <c r="D122" s="145"/>
      <c r="E122" s="139" t="s">
        <v>221</v>
      </c>
      <c r="F122" s="139" t="s">
        <v>172</v>
      </c>
      <c r="G122" s="139"/>
      <c r="H122" s="140" t="s">
        <v>44</v>
      </c>
      <c r="I122" s="165"/>
      <c r="J122" s="166"/>
      <c r="K122" s="166"/>
      <c r="L122" s="167"/>
      <c r="M122" s="84" t="s">
        <v>45</v>
      </c>
      <c r="N122" s="67">
        <v>0</v>
      </c>
      <c r="O122" s="151">
        <v>46169</v>
      </c>
      <c r="P122" s="152">
        <v>46175</v>
      </c>
      <c r="Q122" s="66" t="s">
        <v>53</v>
      </c>
      <c r="R122" s="67">
        <v>0</v>
      </c>
      <c r="S122" s="72">
        <v>46188</v>
      </c>
      <c r="T122" s="112">
        <v>46199</v>
      </c>
      <c r="U122" s="66" t="s">
        <v>45</v>
      </c>
      <c r="V122" s="67">
        <v>0</v>
      </c>
      <c r="W122" s="141">
        <v>46216</v>
      </c>
      <c r="X122" s="142">
        <v>46218</v>
      </c>
      <c r="Y122" s="103"/>
      <c r="Z122" s="113"/>
      <c r="AA122" s="114"/>
      <c r="AB122" s="114"/>
      <c r="AC122" s="114"/>
      <c r="AD122" s="253"/>
      <c r="AE122" s="251"/>
      <c r="AF122" s="114"/>
      <c r="AG122" s="259"/>
      <c r="AH122" s="259"/>
      <c r="AI122" s="115"/>
      <c r="AJ122" s="116"/>
      <c r="AK122" s="114"/>
      <c r="AL122" s="127"/>
      <c r="AM122" s="114"/>
      <c r="AN122" s="115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 ht="16" customHeight="1">
      <c r="A123" s="9"/>
      <c r="B123" s="71"/>
      <c r="C123" s="136" t="s">
        <v>49</v>
      </c>
      <c r="D123" s="145"/>
      <c r="E123" s="139" t="s">
        <v>221</v>
      </c>
      <c r="F123" s="139" t="s">
        <v>173</v>
      </c>
      <c r="G123" s="139"/>
      <c r="H123" s="140" t="s">
        <v>44</v>
      </c>
      <c r="I123" s="165"/>
      <c r="J123" s="166"/>
      <c r="K123" s="166"/>
      <c r="L123" s="167"/>
      <c r="M123" s="84" t="s">
        <v>45</v>
      </c>
      <c r="N123" s="67">
        <v>0</v>
      </c>
      <c r="O123" s="151">
        <v>46169</v>
      </c>
      <c r="P123" s="152">
        <v>46175</v>
      </c>
      <c r="Q123" s="66" t="s">
        <v>53</v>
      </c>
      <c r="R123" s="67">
        <v>0</v>
      </c>
      <c r="S123" s="72">
        <v>46188</v>
      </c>
      <c r="T123" s="112">
        <v>46199</v>
      </c>
      <c r="U123" s="66" t="s">
        <v>45</v>
      </c>
      <c r="V123" s="67">
        <v>0</v>
      </c>
      <c r="W123" s="141">
        <v>46216</v>
      </c>
      <c r="X123" s="142">
        <v>46218</v>
      </c>
      <c r="Y123" s="103"/>
      <c r="Z123" s="113"/>
      <c r="AA123" s="114"/>
      <c r="AB123" s="114"/>
      <c r="AC123" s="114"/>
      <c r="AD123" s="253"/>
      <c r="AE123" s="251"/>
      <c r="AF123" s="114"/>
      <c r="AG123" s="259"/>
      <c r="AH123" s="259"/>
      <c r="AI123" s="115"/>
      <c r="AJ123" s="116"/>
      <c r="AK123" s="114"/>
      <c r="AL123" s="127"/>
      <c r="AM123" s="114"/>
      <c r="AN123" s="115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 ht="16" customHeight="1">
      <c r="A124" s="9"/>
      <c r="B124" s="71"/>
      <c r="C124" s="136" t="s">
        <v>124</v>
      </c>
      <c r="D124" s="145"/>
      <c r="E124" s="139" t="s">
        <v>221</v>
      </c>
      <c r="F124" s="139" t="s">
        <v>222</v>
      </c>
      <c r="G124" s="139"/>
      <c r="H124" s="140" t="s">
        <v>44</v>
      </c>
      <c r="I124" s="165"/>
      <c r="J124" s="166"/>
      <c r="K124" s="166"/>
      <c r="L124" s="167"/>
      <c r="M124" s="84" t="s">
        <v>45</v>
      </c>
      <c r="N124" s="67">
        <v>0</v>
      </c>
      <c r="O124" s="151">
        <v>46169</v>
      </c>
      <c r="P124" s="152">
        <v>46175</v>
      </c>
      <c r="Q124" s="66" t="s">
        <v>53</v>
      </c>
      <c r="R124" s="67">
        <v>0</v>
      </c>
      <c r="S124" s="72">
        <v>46188</v>
      </c>
      <c r="T124" s="112">
        <v>46199</v>
      </c>
      <c r="U124" s="66" t="s">
        <v>45</v>
      </c>
      <c r="V124" s="67">
        <v>0</v>
      </c>
      <c r="W124" s="141">
        <v>46216</v>
      </c>
      <c r="X124" s="142">
        <v>46218</v>
      </c>
      <c r="Y124" s="103"/>
      <c r="Z124" s="113"/>
      <c r="AA124" s="114"/>
      <c r="AB124" s="114"/>
      <c r="AC124" s="114"/>
      <c r="AD124" s="253"/>
      <c r="AE124" s="251"/>
      <c r="AF124" s="114"/>
      <c r="AG124" s="259"/>
      <c r="AH124" s="259"/>
      <c r="AI124" s="115"/>
      <c r="AJ124" s="116"/>
      <c r="AK124" s="114"/>
      <c r="AL124" s="127"/>
      <c r="AM124" s="114"/>
      <c r="AN124" s="115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 ht="16" customHeight="1">
      <c r="A125" s="9"/>
      <c r="B125" s="71"/>
      <c r="C125" s="136" t="s">
        <v>124</v>
      </c>
      <c r="D125" s="145"/>
      <c r="E125" s="139" t="s">
        <v>221</v>
      </c>
      <c r="F125" s="139" t="s">
        <v>223</v>
      </c>
      <c r="G125" s="139"/>
      <c r="H125" s="140" t="s">
        <v>44</v>
      </c>
      <c r="I125" s="165"/>
      <c r="J125" s="166"/>
      <c r="K125" s="166"/>
      <c r="L125" s="167"/>
      <c r="M125" s="84" t="s">
        <v>45</v>
      </c>
      <c r="N125" s="67">
        <v>0</v>
      </c>
      <c r="O125" s="151">
        <v>46169</v>
      </c>
      <c r="P125" s="152">
        <v>46175</v>
      </c>
      <c r="Q125" s="66" t="s">
        <v>53</v>
      </c>
      <c r="R125" s="67">
        <v>0</v>
      </c>
      <c r="S125" s="72">
        <v>46188</v>
      </c>
      <c r="T125" s="112">
        <v>46199</v>
      </c>
      <c r="U125" s="66" t="s">
        <v>45</v>
      </c>
      <c r="V125" s="67">
        <v>0</v>
      </c>
      <c r="W125" s="141">
        <v>46216</v>
      </c>
      <c r="X125" s="142">
        <v>46218</v>
      </c>
      <c r="Y125" s="103"/>
      <c r="Z125" s="113"/>
      <c r="AA125" s="114"/>
      <c r="AB125" s="114"/>
      <c r="AC125" s="114"/>
      <c r="AD125" s="253"/>
      <c r="AE125" s="251"/>
      <c r="AF125" s="114"/>
      <c r="AG125" s="259"/>
      <c r="AH125" s="259"/>
      <c r="AI125" s="115"/>
      <c r="AJ125" s="116"/>
      <c r="AK125" s="114"/>
      <c r="AL125" s="127"/>
      <c r="AM125" s="114"/>
      <c r="AN125" s="115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 ht="16" customHeight="1">
      <c r="A126" s="9"/>
      <c r="B126" s="71"/>
      <c r="C126" s="136" t="s">
        <v>95</v>
      </c>
      <c r="D126" s="145"/>
      <c r="E126" s="139" t="s">
        <v>221</v>
      </c>
      <c r="F126" s="139" t="s">
        <v>224</v>
      </c>
      <c r="G126" s="139"/>
      <c r="H126" s="140" t="s">
        <v>44</v>
      </c>
      <c r="I126" s="165"/>
      <c r="J126" s="166"/>
      <c r="K126" s="166"/>
      <c r="L126" s="167"/>
      <c r="M126" s="84" t="s">
        <v>45</v>
      </c>
      <c r="N126" s="67">
        <v>0</v>
      </c>
      <c r="O126" s="151">
        <v>46169</v>
      </c>
      <c r="P126" s="152">
        <v>46175</v>
      </c>
      <c r="Q126" s="66" t="s">
        <v>53</v>
      </c>
      <c r="R126" s="67">
        <v>0</v>
      </c>
      <c r="S126" s="72">
        <v>46188</v>
      </c>
      <c r="T126" s="112">
        <v>46199</v>
      </c>
      <c r="U126" s="66" t="s">
        <v>45</v>
      </c>
      <c r="V126" s="67">
        <v>0</v>
      </c>
      <c r="W126" s="141">
        <v>46216</v>
      </c>
      <c r="X126" s="142">
        <v>46218</v>
      </c>
      <c r="Y126" s="103"/>
      <c r="Z126" s="113"/>
      <c r="AA126" s="114"/>
      <c r="AB126" s="114"/>
      <c r="AC126" s="114"/>
      <c r="AD126" s="253"/>
      <c r="AE126" s="251"/>
      <c r="AF126" s="114"/>
      <c r="AG126" s="259"/>
      <c r="AH126" s="259"/>
      <c r="AI126" s="115"/>
      <c r="AJ126" s="116"/>
      <c r="AK126" s="114"/>
      <c r="AL126" s="127"/>
      <c r="AM126" s="114"/>
      <c r="AN126" s="115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 ht="16" customHeight="1">
      <c r="A127" s="9"/>
      <c r="B127" s="71"/>
      <c r="C127" s="136" t="s">
        <v>95</v>
      </c>
      <c r="D127" s="145"/>
      <c r="E127" s="139" t="s">
        <v>221</v>
      </c>
      <c r="F127" s="139" t="s">
        <v>225</v>
      </c>
      <c r="G127" s="139"/>
      <c r="H127" s="140" t="s">
        <v>44</v>
      </c>
      <c r="I127" s="165"/>
      <c r="J127" s="166"/>
      <c r="K127" s="166"/>
      <c r="L127" s="167"/>
      <c r="M127" s="84" t="s">
        <v>45</v>
      </c>
      <c r="N127" s="67">
        <v>0</v>
      </c>
      <c r="O127" s="151">
        <v>46169</v>
      </c>
      <c r="P127" s="152">
        <v>46175</v>
      </c>
      <c r="Q127" s="66" t="s">
        <v>53</v>
      </c>
      <c r="R127" s="67">
        <v>0</v>
      </c>
      <c r="S127" s="72">
        <v>46188</v>
      </c>
      <c r="T127" s="112">
        <v>46199</v>
      </c>
      <c r="U127" s="66" t="s">
        <v>45</v>
      </c>
      <c r="V127" s="67">
        <v>0</v>
      </c>
      <c r="W127" s="141">
        <v>46216</v>
      </c>
      <c r="X127" s="142">
        <v>46218</v>
      </c>
      <c r="Y127" s="103"/>
      <c r="Z127" s="113"/>
      <c r="AA127" s="114"/>
      <c r="AB127" s="114"/>
      <c r="AC127" s="114"/>
      <c r="AD127" s="253"/>
      <c r="AE127" s="251"/>
      <c r="AF127" s="114"/>
      <c r="AG127" s="259"/>
      <c r="AH127" s="259"/>
      <c r="AI127" s="115"/>
      <c r="AJ127" s="116"/>
      <c r="AK127" s="114"/>
      <c r="AL127" s="127"/>
      <c r="AM127" s="114"/>
      <c r="AN127" s="115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 ht="16" customHeight="1">
      <c r="A128" s="9"/>
      <c r="B128" s="71"/>
      <c r="C128" s="136" t="s">
        <v>49</v>
      </c>
      <c r="D128" s="145"/>
      <c r="E128" s="139" t="s">
        <v>221</v>
      </c>
      <c r="F128" s="139" t="s">
        <v>226</v>
      </c>
      <c r="G128" s="139"/>
      <c r="H128" s="140" t="s">
        <v>44</v>
      </c>
      <c r="I128" s="165"/>
      <c r="J128" s="166"/>
      <c r="K128" s="166"/>
      <c r="L128" s="167"/>
      <c r="M128" s="84" t="s">
        <v>45</v>
      </c>
      <c r="N128" s="67">
        <v>0</v>
      </c>
      <c r="O128" s="151">
        <v>46169</v>
      </c>
      <c r="P128" s="152">
        <v>46175</v>
      </c>
      <c r="Q128" s="66" t="s">
        <v>53</v>
      </c>
      <c r="R128" s="67">
        <v>0</v>
      </c>
      <c r="S128" s="72">
        <v>46188</v>
      </c>
      <c r="T128" s="112">
        <v>46199</v>
      </c>
      <c r="U128" s="66" t="s">
        <v>45</v>
      </c>
      <c r="V128" s="67">
        <v>0</v>
      </c>
      <c r="W128" s="141">
        <v>46216</v>
      </c>
      <c r="X128" s="142">
        <v>46218</v>
      </c>
      <c r="Y128" s="103"/>
      <c r="Z128" s="113"/>
      <c r="AA128" s="114"/>
      <c r="AB128" s="114"/>
      <c r="AC128" s="114"/>
      <c r="AD128" s="253"/>
      <c r="AE128" s="251"/>
      <c r="AF128" s="114"/>
      <c r="AG128" s="259"/>
      <c r="AH128" s="259"/>
      <c r="AI128" s="115"/>
      <c r="AJ128" s="116"/>
      <c r="AK128" s="114"/>
      <c r="AL128" s="127"/>
      <c r="AM128" s="114"/>
      <c r="AN128" s="115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 ht="16" customHeight="1">
      <c r="A129" s="9"/>
      <c r="B129" s="71"/>
      <c r="C129" s="136" t="s">
        <v>124</v>
      </c>
      <c r="D129" s="145"/>
      <c r="E129" s="139" t="s">
        <v>221</v>
      </c>
      <c r="F129" s="139" t="s">
        <v>227</v>
      </c>
      <c r="G129" s="139"/>
      <c r="H129" s="140" t="s">
        <v>44</v>
      </c>
      <c r="I129" s="165"/>
      <c r="J129" s="166"/>
      <c r="K129" s="166"/>
      <c r="L129" s="167"/>
      <c r="M129" s="84" t="s">
        <v>45</v>
      </c>
      <c r="N129" s="67">
        <v>0</v>
      </c>
      <c r="O129" s="151">
        <v>46169</v>
      </c>
      <c r="P129" s="152">
        <v>46175</v>
      </c>
      <c r="Q129" s="66" t="s">
        <v>53</v>
      </c>
      <c r="R129" s="67">
        <v>0</v>
      </c>
      <c r="S129" s="72">
        <v>46188</v>
      </c>
      <c r="T129" s="112">
        <v>46199</v>
      </c>
      <c r="U129" s="66" t="s">
        <v>45</v>
      </c>
      <c r="V129" s="67">
        <v>0</v>
      </c>
      <c r="W129" s="141">
        <v>46216</v>
      </c>
      <c r="X129" s="142">
        <v>46218</v>
      </c>
      <c r="Y129" s="103"/>
      <c r="Z129" s="113"/>
      <c r="AA129" s="114"/>
      <c r="AB129" s="114"/>
      <c r="AC129" s="114"/>
      <c r="AD129" s="253"/>
      <c r="AE129" s="251"/>
      <c r="AF129" s="114"/>
      <c r="AG129" s="259"/>
      <c r="AH129" s="259"/>
      <c r="AI129" s="115"/>
      <c r="AJ129" s="116"/>
      <c r="AK129" s="114"/>
      <c r="AL129" s="127"/>
      <c r="AM129" s="114"/>
      <c r="AN129" s="115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 ht="16" customHeight="1">
      <c r="A130" s="9"/>
      <c r="B130" s="71"/>
      <c r="C130" s="136" t="s">
        <v>60</v>
      </c>
      <c r="D130" s="145"/>
      <c r="E130" s="139" t="s">
        <v>228</v>
      </c>
      <c r="F130" s="139"/>
      <c r="G130" s="139"/>
      <c r="H130" s="140" t="s">
        <v>44</v>
      </c>
      <c r="I130" s="165"/>
      <c r="J130" s="166"/>
      <c r="K130" s="166"/>
      <c r="L130" s="167"/>
      <c r="M130" s="84" t="s">
        <v>45</v>
      </c>
      <c r="N130" s="67">
        <v>0</v>
      </c>
      <c r="O130" s="151">
        <v>46169</v>
      </c>
      <c r="P130" s="152">
        <v>46175</v>
      </c>
      <c r="Q130" s="66" t="s">
        <v>53</v>
      </c>
      <c r="R130" s="67">
        <v>0</v>
      </c>
      <c r="S130" s="72">
        <v>46188</v>
      </c>
      <c r="T130" s="112">
        <v>46199</v>
      </c>
      <c r="U130" s="66" t="s">
        <v>45</v>
      </c>
      <c r="V130" s="67">
        <v>0</v>
      </c>
      <c r="W130" s="141">
        <v>46216</v>
      </c>
      <c r="X130" s="142">
        <v>46218</v>
      </c>
      <c r="Y130" s="103"/>
      <c r="Z130" s="113"/>
      <c r="AA130" s="114"/>
      <c r="AB130" s="114"/>
      <c r="AC130" s="114"/>
      <c r="AD130" s="253"/>
      <c r="AE130" s="251"/>
      <c r="AF130" s="114"/>
      <c r="AG130" s="259"/>
      <c r="AH130" s="259"/>
      <c r="AI130" s="115"/>
      <c r="AJ130" s="116"/>
      <c r="AK130" s="114"/>
      <c r="AL130" s="127"/>
      <c r="AM130" s="114"/>
      <c r="AN130" s="115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 ht="16" customHeight="1">
      <c r="A131" s="9"/>
      <c r="B131" s="71"/>
      <c r="C131" s="136" t="s">
        <v>49</v>
      </c>
      <c r="D131" s="145"/>
      <c r="E131" s="139" t="s">
        <v>228</v>
      </c>
      <c r="F131" s="139" t="s">
        <v>229</v>
      </c>
      <c r="G131" s="139"/>
      <c r="H131" s="140" t="s">
        <v>44</v>
      </c>
      <c r="I131" s="165"/>
      <c r="J131" s="166"/>
      <c r="K131" s="166"/>
      <c r="L131" s="167"/>
      <c r="M131" s="84" t="s">
        <v>45</v>
      </c>
      <c r="N131" s="67">
        <v>0</v>
      </c>
      <c r="O131" s="151">
        <v>46169</v>
      </c>
      <c r="P131" s="152">
        <v>46175</v>
      </c>
      <c r="Q131" s="66" t="s">
        <v>53</v>
      </c>
      <c r="R131" s="67">
        <v>0</v>
      </c>
      <c r="S131" s="72">
        <v>46188</v>
      </c>
      <c r="T131" s="112">
        <v>46199</v>
      </c>
      <c r="U131" s="66" t="s">
        <v>45</v>
      </c>
      <c r="V131" s="67">
        <v>0</v>
      </c>
      <c r="W131" s="141">
        <v>46216</v>
      </c>
      <c r="X131" s="142">
        <v>46218</v>
      </c>
      <c r="Y131" s="103"/>
      <c r="Z131" s="113"/>
      <c r="AA131" s="114"/>
      <c r="AB131" s="114"/>
      <c r="AC131" s="114"/>
      <c r="AD131" s="253"/>
      <c r="AE131" s="251"/>
      <c r="AF131" s="114"/>
      <c r="AG131" s="259"/>
      <c r="AH131" s="259"/>
      <c r="AI131" s="115"/>
      <c r="AJ131" s="116"/>
      <c r="AK131" s="114"/>
      <c r="AL131" s="127"/>
      <c r="AM131" s="114"/>
      <c r="AN131" s="115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 ht="16" customHeight="1">
      <c r="A132" s="9"/>
      <c r="B132" s="71"/>
      <c r="C132" s="136" t="s">
        <v>124</v>
      </c>
      <c r="D132" s="145"/>
      <c r="E132" s="139" t="s">
        <v>228</v>
      </c>
      <c r="F132" s="139" t="s">
        <v>230</v>
      </c>
      <c r="G132" s="139"/>
      <c r="H132" s="140" t="s">
        <v>44</v>
      </c>
      <c r="I132" s="165"/>
      <c r="J132" s="166"/>
      <c r="K132" s="166"/>
      <c r="L132" s="167"/>
      <c r="M132" s="84" t="s">
        <v>45</v>
      </c>
      <c r="N132" s="67">
        <v>0</v>
      </c>
      <c r="O132" s="151">
        <v>46169</v>
      </c>
      <c r="P132" s="152">
        <v>46175</v>
      </c>
      <c r="Q132" s="66" t="s">
        <v>53</v>
      </c>
      <c r="R132" s="67">
        <v>0</v>
      </c>
      <c r="S132" s="72">
        <v>46188</v>
      </c>
      <c r="T132" s="112">
        <v>46199</v>
      </c>
      <c r="U132" s="66" t="s">
        <v>45</v>
      </c>
      <c r="V132" s="67">
        <v>0</v>
      </c>
      <c r="W132" s="141">
        <v>46216</v>
      </c>
      <c r="X132" s="142">
        <v>46218</v>
      </c>
      <c r="Y132" s="103"/>
      <c r="Z132" s="113"/>
      <c r="AA132" s="114"/>
      <c r="AB132" s="114"/>
      <c r="AC132" s="114"/>
      <c r="AD132" s="253"/>
      <c r="AE132" s="251"/>
      <c r="AF132" s="114"/>
      <c r="AG132" s="259"/>
      <c r="AH132" s="259"/>
      <c r="AI132" s="115"/>
      <c r="AJ132" s="116"/>
      <c r="AK132" s="114"/>
      <c r="AL132" s="127"/>
      <c r="AM132" s="114"/>
      <c r="AN132" s="115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 ht="16" customHeight="1">
      <c r="A133" s="9"/>
      <c r="B133" s="71"/>
      <c r="C133" s="136" t="s">
        <v>124</v>
      </c>
      <c r="D133" s="145"/>
      <c r="E133" s="139" t="s">
        <v>228</v>
      </c>
      <c r="F133" s="139" t="s">
        <v>231</v>
      </c>
      <c r="G133" s="139"/>
      <c r="H133" s="140" t="s">
        <v>44</v>
      </c>
      <c r="I133" s="165"/>
      <c r="J133" s="166"/>
      <c r="K133" s="166"/>
      <c r="L133" s="167"/>
      <c r="M133" s="84" t="s">
        <v>45</v>
      </c>
      <c r="N133" s="67">
        <v>0</v>
      </c>
      <c r="O133" s="151">
        <v>46169</v>
      </c>
      <c r="P133" s="152">
        <v>46175</v>
      </c>
      <c r="Q133" s="66" t="s">
        <v>53</v>
      </c>
      <c r="R133" s="67">
        <v>0</v>
      </c>
      <c r="S133" s="72">
        <v>46188</v>
      </c>
      <c r="T133" s="112">
        <v>46199</v>
      </c>
      <c r="U133" s="66" t="s">
        <v>45</v>
      </c>
      <c r="V133" s="67">
        <v>0</v>
      </c>
      <c r="W133" s="141">
        <v>46216</v>
      </c>
      <c r="X133" s="142">
        <v>46218</v>
      </c>
      <c r="Y133" s="103"/>
      <c r="Z133" s="113"/>
      <c r="AA133" s="114"/>
      <c r="AB133" s="114"/>
      <c r="AC133" s="114"/>
      <c r="AD133" s="253"/>
      <c r="AE133" s="251"/>
      <c r="AF133" s="114"/>
      <c r="AG133" s="259"/>
      <c r="AH133" s="259"/>
      <c r="AI133" s="115"/>
      <c r="AJ133" s="116"/>
      <c r="AK133" s="114"/>
      <c r="AL133" s="127"/>
      <c r="AM133" s="114"/>
      <c r="AN133" s="115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 ht="16" customHeight="1">
      <c r="A134" s="9"/>
      <c r="B134" s="71"/>
      <c r="C134" s="136" t="s">
        <v>124</v>
      </c>
      <c r="D134" s="145"/>
      <c r="E134" s="139" t="s">
        <v>228</v>
      </c>
      <c r="F134" s="139" t="s">
        <v>232</v>
      </c>
      <c r="G134" s="139"/>
      <c r="H134" s="140" t="s">
        <v>44</v>
      </c>
      <c r="I134" s="165"/>
      <c r="J134" s="166"/>
      <c r="K134" s="166"/>
      <c r="L134" s="167"/>
      <c r="M134" s="84" t="s">
        <v>45</v>
      </c>
      <c r="N134" s="67">
        <v>0</v>
      </c>
      <c r="O134" s="151">
        <v>46169</v>
      </c>
      <c r="P134" s="152">
        <v>46175</v>
      </c>
      <c r="Q134" s="66" t="s">
        <v>53</v>
      </c>
      <c r="R134" s="67">
        <v>0</v>
      </c>
      <c r="S134" s="72">
        <v>46188</v>
      </c>
      <c r="T134" s="112">
        <v>46199</v>
      </c>
      <c r="U134" s="66" t="s">
        <v>45</v>
      </c>
      <c r="V134" s="67">
        <v>0</v>
      </c>
      <c r="W134" s="141">
        <v>46216</v>
      </c>
      <c r="X134" s="142">
        <v>46218</v>
      </c>
      <c r="Y134" s="103"/>
      <c r="Z134" s="113"/>
      <c r="AA134" s="114"/>
      <c r="AB134" s="114"/>
      <c r="AC134" s="114"/>
      <c r="AD134" s="253"/>
      <c r="AE134" s="251"/>
      <c r="AF134" s="114"/>
      <c r="AG134" s="259"/>
      <c r="AH134" s="259"/>
      <c r="AI134" s="115"/>
      <c r="AJ134" s="116"/>
      <c r="AK134" s="114"/>
      <c r="AL134" s="127"/>
      <c r="AM134" s="114"/>
      <c r="AN134" s="115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 ht="16" customHeight="1">
      <c r="A135" s="9"/>
      <c r="B135" s="71"/>
      <c r="C135" s="136" t="s">
        <v>95</v>
      </c>
      <c r="D135" s="145"/>
      <c r="E135" s="139" t="s">
        <v>228</v>
      </c>
      <c r="F135" s="139" t="s">
        <v>233</v>
      </c>
      <c r="G135" s="139"/>
      <c r="H135" s="140" t="s">
        <v>44</v>
      </c>
      <c r="I135" s="165"/>
      <c r="J135" s="166"/>
      <c r="K135" s="166"/>
      <c r="L135" s="167"/>
      <c r="M135" s="84" t="s">
        <v>45</v>
      </c>
      <c r="N135" s="67">
        <v>0</v>
      </c>
      <c r="O135" s="151">
        <v>46169</v>
      </c>
      <c r="P135" s="152">
        <v>46175</v>
      </c>
      <c r="Q135" s="66" t="s">
        <v>53</v>
      </c>
      <c r="R135" s="67">
        <v>0</v>
      </c>
      <c r="S135" s="72">
        <v>46188</v>
      </c>
      <c r="T135" s="112">
        <v>46199</v>
      </c>
      <c r="U135" s="66" t="s">
        <v>45</v>
      </c>
      <c r="V135" s="67">
        <v>0</v>
      </c>
      <c r="W135" s="141">
        <v>46216</v>
      </c>
      <c r="X135" s="142">
        <v>46218</v>
      </c>
      <c r="Y135" s="103"/>
      <c r="Z135" s="113"/>
      <c r="AA135" s="114"/>
      <c r="AB135" s="114"/>
      <c r="AC135" s="114"/>
      <c r="AD135" s="253"/>
      <c r="AE135" s="251"/>
      <c r="AF135" s="114"/>
      <c r="AG135" s="259"/>
      <c r="AH135" s="259"/>
      <c r="AI135" s="115"/>
      <c r="AJ135" s="116"/>
      <c r="AK135" s="114"/>
      <c r="AL135" s="127"/>
      <c r="AM135" s="114"/>
      <c r="AN135" s="115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 ht="16" customHeight="1">
      <c r="A136" s="9"/>
      <c r="B136" s="71"/>
      <c r="C136" s="136" t="s">
        <v>95</v>
      </c>
      <c r="D136" s="145"/>
      <c r="E136" s="139" t="s">
        <v>228</v>
      </c>
      <c r="F136" s="139" t="s">
        <v>234</v>
      </c>
      <c r="G136" s="139"/>
      <c r="H136" s="140" t="s">
        <v>44</v>
      </c>
      <c r="I136" s="165"/>
      <c r="J136" s="166"/>
      <c r="K136" s="166"/>
      <c r="L136" s="167"/>
      <c r="M136" s="84" t="s">
        <v>45</v>
      </c>
      <c r="N136" s="67">
        <v>0</v>
      </c>
      <c r="O136" s="151">
        <v>46169</v>
      </c>
      <c r="P136" s="152">
        <v>46175</v>
      </c>
      <c r="Q136" s="66" t="s">
        <v>53</v>
      </c>
      <c r="R136" s="67">
        <v>0</v>
      </c>
      <c r="S136" s="72">
        <v>46188</v>
      </c>
      <c r="T136" s="112">
        <v>46199</v>
      </c>
      <c r="U136" s="66" t="s">
        <v>45</v>
      </c>
      <c r="V136" s="67">
        <v>0</v>
      </c>
      <c r="W136" s="141">
        <v>46216</v>
      </c>
      <c r="X136" s="142">
        <v>46218</v>
      </c>
      <c r="Y136" s="103"/>
      <c r="Z136" s="113"/>
      <c r="AA136" s="114"/>
      <c r="AB136" s="114"/>
      <c r="AC136" s="114"/>
      <c r="AD136" s="253"/>
      <c r="AE136" s="251"/>
      <c r="AF136" s="114"/>
      <c r="AG136" s="259"/>
      <c r="AH136" s="259"/>
      <c r="AI136" s="115"/>
      <c r="AJ136" s="116"/>
      <c r="AK136" s="114"/>
      <c r="AL136" s="127"/>
      <c r="AM136" s="114"/>
      <c r="AN136" s="115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 ht="16" customHeight="1">
      <c r="A137" s="9"/>
      <c r="B137" s="71"/>
      <c r="C137" s="136" t="s">
        <v>124</v>
      </c>
      <c r="D137" s="145"/>
      <c r="E137" s="139" t="s">
        <v>228</v>
      </c>
      <c r="F137" s="139" t="s">
        <v>235</v>
      </c>
      <c r="G137" s="139"/>
      <c r="H137" s="140" t="s">
        <v>44</v>
      </c>
      <c r="I137" s="165"/>
      <c r="J137" s="166"/>
      <c r="K137" s="166"/>
      <c r="L137" s="167"/>
      <c r="M137" s="84" t="s">
        <v>45</v>
      </c>
      <c r="N137" s="67">
        <v>0</v>
      </c>
      <c r="O137" s="151">
        <v>46169</v>
      </c>
      <c r="P137" s="152">
        <v>46175</v>
      </c>
      <c r="Q137" s="66" t="s">
        <v>53</v>
      </c>
      <c r="R137" s="67">
        <v>0</v>
      </c>
      <c r="S137" s="72">
        <v>46188</v>
      </c>
      <c r="T137" s="112">
        <v>46199</v>
      </c>
      <c r="U137" s="66" t="s">
        <v>45</v>
      </c>
      <c r="V137" s="67">
        <v>0</v>
      </c>
      <c r="W137" s="141">
        <v>46216</v>
      </c>
      <c r="X137" s="142">
        <v>46218</v>
      </c>
      <c r="Y137" s="103"/>
      <c r="Z137" s="113"/>
      <c r="AA137" s="114"/>
      <c r="AB137" s="114"/>
      <c r="AC137" s="114"/>
      <c r="AD137" s="253"/>
      <c r="AE137" s="251"/>
      <c r="AF137" s="114"/>
      <c r="AG137" s="259"/>
      <c r="AH137" s="259"/>
      <c r="AI137" s="115"/>
      <c r="AJ137" s="116"/>
      <c r="AK137" s="114"/>
      <c r="AL137" s="127"/>
      <c r="AM137" s="114"/>
      <c r="AN137" s="115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 ht="16" customHeight="1">
      <c r="A138" s="9"/>
      <c r="B138" s="71"/>
      <c r="C138" s="136" t="s">
        <v>60</v>
      </c>
      <c r="D138" s="145" t="s">
        <v>236</v>
      </c>
      <c r="E138" s="139" t="s">
        <v>237</v>
      </c>
      <c r="F138" s="139"/>
      <c r="G138" s="139"/>
      <c r="H138" s="140" t="s">
        <v>44</v>
      </c>
      <c r="I138" s="165" t="s">
        <v>238</v>
      </c>
      <c r="J138" s="166"/>
      <c r="K138" s="166"/>
      <c r="L138" s="167"/>
      <c r="M138" s="84" t="s">
        <v>45</v>
      </c>
      <c r="N138" s="67">
        <v>0</v>
      </c>
      <c r="O138" s="151">
        <v>46169</v>
      </c>
      <c r="P138" s="152">
        <v>46175</v>
      </c>
      <c r="Q138" s="66" t="s">
        <v>53</v>
      </c>
      <c r="R138" s="67">
        <v>0</v>
      </c>
      <c r="S138" s="72">
        <v>46188</v>
      </c>
      <c r="T138" s="112">
        <v>46199</v>
      </c>
      <c r="U138" s="66" t="s">
        <v>45</v>
      </c>
      <c r="V138" s="67">
        <v>0</v>
      </c>
      <c r="W138" s="141">
        <v>46216</v>
      </c>
      <c r="X138" s="142">
        <v>46218</v>
      </c>
      <c r="Y138" s="103"/>
      <c r="Z138" s="113"/>
      <c r="AA138" s="114"/>
      <c r="AB138" s="114"/>
      <c r="AC138" s="114"/>
      <c r="AD138" s="253"/>
      <c r="AE138" s="251"/>
      <c r="AF138" s="114"/>
      <c r="AG138" s="259"/>
      <c r="AH138" s="259"/>
      <c r="AI138" s="115"/>
      <c r="AJ138" s="116"/>
      <c r="AK138" s="114"/>
      <c r="AL138" s="127"/>
      <c r="AM138" s="114"/>
      <c r="AN138" s="115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 ht="16" customHeight="1">
      <c r="A139" s="9"/>
      <c r="B139" s="71"/>
      <c r="C139" s="136" t="s">
        <v>49</v>
      </c>
      <c r="D139" s="145"/>
      <c r="E139" s="139" t="s">
        <v>237</v>
      </c>
      <c r="F139" s="139" t="s">
        <v>239</v>
      </c>
      <c r="G139" s="139"/>
      <c r="H139" s="140" t="s">
        <v>44</v>
      </c>
      <c r="I139" s="165"/>
      <c r="J139" s="166"/>
      <c r="K139" s="166"/>
      <c r="L139" s="167"/>
      <c r="M139" s="84" t="s">
        <v>45</v>
      </c>
      <c r="N139" s="67">
        <v>0</v>
      </c>
      <c r="O139" s="151">
        <v>46169</v>
      </c>
      <c r="P139" s="152">
        <v>46175</v>
      </c>
      <c r="Q139" s="66" t="s">
        <v>53</v>
      </c>
      <c r="R139" s="67">
        <v>0</v>
      </c>
      <c r="S139" s="72">
        <v>46188</v>
      </c>
      <c r="T139" s="112">
        <v>46199</v>
      </c>
      <c r="U139" s="66" t="s">
        <v>45</v>
      </c>
      <c r="V139" s="67">
        <v>0</v>
      </c>
      <c r="W139" s="141">
        <v>46216</v>
      </c>
      <c r="X139" s="142">
        <v>46218</v>
      </c>
      <c r="Y139" s="103"/>
      <c r="Z139" s="113"/>
      <c r="AA139" s="114"/>
      <c r="AB139" s="114"/>
      <c r="AC139" s="114"/>
      <c r="AD139" s="253"/>
      <c r="AE139" s="251"/>
      <c r="AF139" s="114"/>
      <c r="AG139" s="259"/>
      <c r="AH139" s="259"/>
      <c r="AI139" s="115"/>
      <c r="AJ139" s="116"/>
      <c r="AK139" s="114"/>
      <c r="AL139" s="127"/>
      <c r="AM139" s="114"/>
      <c r="AN139" s="115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 ht="16" customHeight="1">
      <c r="A140" s="9"/>
      <c r="B140" s="71"/>
      <c r="C140" s="136" t="s">
        <v>124</v>
      </c>
      <c r="D140" s="145"/>
      <c r="E140" s="139" t="s">
        <v>237</v>
      </c>
      <c r="F140" s="139" t="s">
        <v>240</v>
      </c>
      <c r="G140" s="139"/>
      <c r="H140" s="140" t="s">
        <v>44</v>
      </c>
      <c r="I140" s="165"/>
      <c r="J140" s="166"/>
      <c r="K140" s="166"/>
      <c r="L140" s="167"/>
      <c r="M140" s="84" t="s">
        <v>45</v>
      </c>
      <c r="N140" s="67">
        <v>0</v>
      </c>
      <c r="O140" s="151">
        <v>46169</v>
      </c>
      <c r="P140" s="152">
        <v>46175</v>
      </c>
      <c r="Q140" s="66" t="s">
        <v>53</v>
      </c>
      <c r="R140" s="67">
        <v>0</v>
      </c>
      <c r="S140" s="72">
        <v>46188</v>
      </c>
      <c r="T140" s="112">
        <v>46199</v>
      </c>
      <c r="U140" s="66" t="s">
        <v>45</v>
      </c>
      <c r="V140" s="67">
        <v>0</v>
      </c>
      <c r="W140" s="141">
        <v>46216</v>
      </c>
      <c r="X140" s="142">
        <v>46218</v>
      </c>
      <c r="Y140" s="103"/>
      <c r="Z140" s="113"/>
      <c r="AA140" s="114"/>
      <c r="AB140" s="114"/>
      <c r="AC140" s="114"/>
      <c r="AD140" s="253"/>
      <c r="AE140" s="251"/>
      <c r="AF140" s="114"/>
      <c r="AG140" s="259"/>
      <c r="AH140" s="259"/>
      <c r="AI140" s="115"/>
      <c r="AJ140" s="116"/>
      <c r="AK140" s="114"/>
      <c r="AL140" s="127"/>
      <c r="AM140" s="114"/>
      <c r="AN140" s="115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 ht="16" customHeight="1">
      <c r="A141" s="9"/>
      <c r="B141" s="71"/>
      <c r="C141" s="136" t="s">
        <v>124</v>
      </c>
      <c r="D141" s="145"/>
      <c r="E141" s="139" t="s">
        <v>237</v>
      </c>
      <c r="F141" s="139" t="s">
        <v>241</v>
      </c>
      <c r="G141" s="139"/>
      <c r="H141" s="140" t="s">
        <v>44</v>
      </c>
      <c r="I141" s="165"/>
      <c r="J141" s="166"/>
      <c r="K141" s="166"/>
      <c r="L141" s="167"/>
      <c r="M141" s="84" t="s">
        <v>45</v>
      </c>
      <c r="N141" s="67">
        <v>0</v>
      </c>
      <c r="O141" s="151">
        <v>46169</v>
      </c>
      <c r="P141" s="152">
        <v>46175</v>
      </c>
      <c r="Q141" s="66" t="s">
        <v>53</v>
      </c>
      <c r="R141" s="67">
        <v>0</v>
      </c>
      <c r="S141" s="72">
        <v>46188</v>
      </c>
      <c r="T141" s="112">
        <v>46199</v>
      </c>
      <c r="U141" s="66" t="s">
        <v>45</v>
      </c>
      <c r="V141" s="67">
        <v>0</v>
      </c>
      <c r="W141" s="141">
        <v>46216</v>
      </c>
      <c r="X141" s="142">
        <v>46218</v>
      </c>
      <c r="Y141" s="103"/>
      <c r="Z141" s="113"/>
      <c r="AA141" s="114"/>
      <c r="AB141" s="114"/>
      <c r="AC141" s="114"/>
      <c r="AD141" s="253"/>
      <c r="AE141" s="251"/>
      <c r="AF141" s="114"/>
      <c r="AG141" s="259"/>
      <c r="AH141" s="259"/>
      <c r="AI141" s="115"/>
      <c r="AJ141" s="116"/>
      <c r="AK141" s="114"/>
      <c r="AL141" s="127"/>
      <c r="AM141" s="114"/>
      <c r="AN141" s="115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 ht="16" customHeight="1">
      <c r="A142" s="9"/>
      <c r="B142" s="71"/>
      <c r="C142" s="136" t="s">
        <v>95</v>
      </c>
      <c r="D142" s="145"/>
      <c r="E142" s="139" t="s">
        <v>237</v>
      </c>
      <c r="F142" s="139" t="s">
        <v>227</v>
      </c>
      <c r="G142" s="139"/>
      <c r="H142" s="140" t="s">
        <v>44</v>
      </c>
      <c r="I142" s="165"/>
      <c r="J142" s="166"/>
      <c r="K142" s="166"/>
      <c r="L142" s="167"/>
      <c r="M142" s="84" t="s">
        <v>45</v>
      </c>
      <c r="N142" s="67">
        <v>0</v>
      </c>
      <c r="O142" s="151">
        <v>46169</v>
      </c>
      <c r="P142" s="152">
        <v>46175</v>
      </c>
      <c r="Q142" s="66" t="s">
        <v>53</v>
      </c>
      <c r="R142" s="67">
        <v>0</v>
      </c>
      <c r="S142" s="72">
        <v>46188</v>
      </c>
      <c r="T142" s="112">
        <v>46199</v>
      </c>
      <c r="U142" s="66" t="s">
        <v>45</v>
      </c>
      <c r="V142" s="67">
        <v>0</v>
      </c>
      <c r="W142" s="141">
        <v>46216</v>
      </c>
      <c r="X142" s="142">
        <v>46218</v>
      </c>
      <c r="Y142" s="103"/>
      <c r="Z142" s="113"/>
      <c r="AA142" s="114"/>
      <c r="AB142" s="114"/>
      <c r="AC142" s="114"/>
      <c r="AD142" s="253"/>
      <c r="AE142" s="251"/>
      <c r="AF142" s="114"/>
      <c r="AG142" s="259"/>
      <c r="AH142" s="259"/>
      <c r="AI142" s="115"/>
      <c r="AJ142" s="116"/>
      <c r="AK142" s="114"/>
      <c r="AL142" s="127"/>
      <c r="AM142" s="114"/>
      <c r="AN142" s="115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 ht="16" customHeight="1">
      <c r="A143" s="9"/>
      <c r="B143" s="71"/>
      <c r="C143" s="136" t="s">
        <v>95</v>
      </c>
      <c r="D143" s="145"/>
      <c r="E143" s="139" t="s">
        <v>237</v>
      </c>
      <c r="F143" s="139" t="s">
        <v>242</v>
      </c>
      <c r="G143" s="139"/>
      <c r="H143" s="140" t="s">
        <v>44</v>
      </c>
      <c r="I143" s="165"/>
      <c r="J143" s="166"/>
      <c r="K143" s="166"/>
      <c r="L143" s="167"/>
      <c r="M143" s="84" t="s">
        <v>45</v>
      </c>
      <c r="N143" s="67">
        <v>0</v>
      </c>
      <c r="O143" s="151">
        <v>46169</v>
      </c>
      <c r="P143" s="152">
        <v>46175</v>
      </c>
      <c r="Q143" s="66" t="s">
        <v>53</v>
      </c>
      <c r="R143" s="67">
        <v>0</v>
      </c>
      <c r="S143" s="72">
        <v>46188</v>
      </c>
      <c r="T143" s="112">
        <v>46199</v>
      </c>
      <c r="U143" s="66" t="s">
        <v>45</v>
      </c>
      <c r="V143" s="67">
        <v>0</v>
      </c>
      <c r="W143" s="141">
        <v>46216</v>
      </c>
      <c r="X143" s="142">
        <v>46218</v>
      </c>
      <c r="Y143" s="103"/>
      <c r="Z143" s="113"/>
      <c r="AA143" s="114"/>
      <c r="AB143" s="114"/>
      <c r="AC143" s="114"/>
      <c r="AD143" s="253"/>
      <c r="AE143" s="251"/>
      <c r="AF143" s="114"/>
      <c r="AG143" s="259"/>
      <c r="AH143" s="259"/>
      <c r="AI143" s="115"/>
      <c r="AJ143" s="116"/>
      <c r="AK143" s="114"/>
      <c r="AL143" s="127"/>
      <c r="AM143" s="114"/>
      <c r="AN143" s="115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 ht="16" customHeight="1">
      <c r="A144" s="9"/>
      <c r="B144" s="71"/>
      <c r="C144" s="136" t="s">
        <v>60</v>
      </c>
      <c r="D144" s="145"/>
      <c r="E144" s="139" t="s">
        <v>243</v>
      </c>
      <c r="F144" s="139"/>
      <c r="G144" s="139"/>
      <c r="H144" s="140" t="s">
        <v>44</v>
      </c>
      <c r="I144" s="165"/>
      <c r="J144" s="166"/>
      <c r="K144" s="166"/>
      <c r="L144" s="167"/>
      <c r="M144" s="84" t="s">
        <v>45</v>
      </c>
      <c r="N144" s="67">
        <v>0</v>
      </c>
      <c r="O144" s="151">
        <v>46169</v>
      </c>
      <c r="P144" s="152">
        <v>46175</v>
      </c>
      <c r="Q144" s="66" t="s">
        <v>53</v>
      </c>
      <c r="R144" s="67">
        <v>0</v>
      </c>
      <c r="S144" s="72">
        <v>46188</v>
      </c>
      <c r="T144" s="112">
        <v>46199</v>
      </c>
      <c r="U144" s="66" t="s">
        <v>45</v>
      </c>
      <c r="V144" s="67">
        <v>0</v>
      </c>
      <c r="W144" s="141">
        <v>46216</v>
      </c>
      <c r="X144" s="142">
        <v>46218</v>
      </c>
      <c r="Y144" s="103"/>
      <c r="Z144" s="113"/>
      <c r="AA144" s="114"/>
      <c r="AB144" s="114"/>
      <c r="AC144" s="114"/>
      <c r="AD144" s="253"/>
      <c r="AE144" s="251"/>
      <c r="AF144" s="114"/>
      <c r="AG144" s="259"/>
      <c r="AH144" s="259"/>
      <c r="AI144" s="115"/>
      <c r="AJ144" s="116"/>
      <c r="AK144" s="114"/>
      <c r="AL144" s="127"/>
      <c r="AM144" s="114"/>
      <c r="AN144" s="115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 ht="16" customHeight="1">
      <c r="A145" s="9"/>
      <c r="B145" s="71"/>
      <c r="C145" s="136" t="s">
        <v>49</v>
      </c>
      <c r="D145" s="145"/>
      <c r="E145" s="139" t="s">
        <v>243</v>
      </c>
      <c r="F145" s="139" t="s">
        <v>244</v>
      </c>
      <c r="G145" s="139"/>
      <c r="H145" s="140" t="s">
        <v>44</v>
      </c>
      <c r="I145" s="165"/>
      <c r="J145" s="166"/>
      <c r="K145" s="166"/>
      <c r="L145" s="167"/>
      <c r="M145" s="84" t="s">
        <v>45</v>
      </c>
      <c r="N145" s="67">
        <v>0</v>
      </c>
      <c r="O145" s="151">
        <v>46169</v>
      </c>
      <c r="P145" s="152">
        <v>46175</v>
      </c>
      <c r="Q145" s="66" t="s">
        <v>53</v>
      </c>
      <c r="R145" s="67">
        <v>0</v>
      </c>
      <c r="S145" s="72">
        <v>46188</v>
      </c>
      <c r="T145" s="112">
        <v>46199</v>
      </c>
      <c r="U145" s="66" t="s">
        <v>45</v>
      </c>
      <c r="V145" s="67">
        <v>0</v>
      </c>
      <c r="W145" s="141">
        <v>46216</v>
      </c>
      <c r="X145" s="142">
        <v>46218</v>
      </c>
      <c r="Y145" s="103"/>
      <c r="Z145" s="113"/>
      <c r="AA145" s="114"/>
      <c r="AB145" s="114"/>
      <c r="AC145" s="114"/>
      <c r="AD145" s="253"/>
      <c r="AE145" s="251"/>
      <c r="AF145" s="114"/>
      <c r="AG145" s="259"/>
      <c r="AH145" s="259"/>
      <c r="AI145" s="115"/>
      <c r="AJ145" s="116"/>
      <c r="AK145" s="114"/>
      <c r="AL145" s="127"/>
      <c r="AM145" s="114"/>
      <c r="AN145" s="115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 ht="16" customHeight="1">
      <c r="A146" s="9"/>
      <c r="B146" s="71"/>
      <c r="C146" s="136" t="s">
        <v>60</v>
      </c>
      <c r="D146" s="145"/>
      <c r="E146" s="139" t="s">
        <v>245</v>
      </c>
      <c r="F146" s="139"/>
      <c r="G146" s="139"/>
      <c r="H146" s="140" t="s">
        <v>44</v>
      </c>
      <c r="I146" s="165" t="s">
        <v>246</v>
      </c>
      <c r="J146" s="166"/>
      <c r="K146" s="166"/>
      <c r="L146" s="167"/>
      <c r="M146" s="84" t="s">
        <v>45</v>
      </c>
      <c r="N146" s="67">
        <v>0</v>
      </c>
      <c r="O146" s="151">
        <v>46169</v>
      </c>
      <c r="P146" s="152">
        <v>46175</v>
      </c>
      <c r="Q146" s="66" t="s">
        <v>53</v>
      </c>
      <c r="R146" s="67">
        <v>0</v>
      </c>
      <c r="S146" s="72">
        <v>46188</v>
      </c>
      <c r="T146" s="112">
        <v>46199</v>
      </c>
      <c r="U146" s="66" t="s">
        <v>45</v>
      </c>
      <c r="V146" s="67">
        <v>0</v>
      </c>
      <c r="W146" s="141">
        <v>46216</v>
      </c>
      <c r="X146" s="142">
        <v>46218</v>
      </c>
      <c r="Y146" s="103"/>
      <c r="Z146" s="113"/>
      <c r="AA146" s="114"/>
      <c r="AB146" s="114"/>
      <c r="AC146" s="114"/>
      <c r="AD146" s="253"/>
      <c r="AE146" s="251"/>
      <c r="AF146" s="114"/>
      <c r="AG146" s="259"/>
      <c r="AH146" s="259"/>
      <c r="AI146" s="115"/>
      <c r="AJ146" s="116"/>
      <c r="AK146" s="114"/>
      <c r="AL146" s="127"/>
      <c r="AM146" s="114"/>
      <c r="AN146" s="115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 ht="16" customHeight="1">
      <c r="A147" s="9"/>
      <c r="B147" s="71"/>
      <c r="C147" s="136" t="s">
        <v>49</v>
      </c>
      <c r="D147" s="145"/>
      <c r="E147" s="139" t="s">
        <v>245</v>
      </c>
      <c r="F147" s="139" t="s">
        <v>172</v>
      </c>
      <c r="G147" s="139"/>
      <c r="H147" s="140" t="s">
        <v>44</v>
      </c>
      <c r="I147" s="165"/>
      <c r="J147" s="166"/>
      <c r="K147" s="166"/>
      <c r="L147" s="167"/>
      <c r="M147" s="84" t="s">
        <v>45</v>
      </c>
      <c r="N147" s="67">
        <v>0</v>
      </c>
      <c r="O147" s="151">
        <v>46169</v>
      </c>
      <c r="P147" s="152">
        <v>46175</v>
      </c>
      <c r="Q147" s="66" t="s">
        <v>53</v>
      </c>
      <c r="R147" s="67">
        <v>0</v>
      </c>
      <c r="S147" s="72">
        <v>46188</v>
      </c>
      <c r="T147" s="112">
        <v>46199</v>
      </c>
      <c r="U147" s="66" t="s">
        <v>45</v>
      </c>
      <c r="V147" s="67">
        <v>0</v>
      </c>
      <c r="W147" s="141">
        <v>46216</v>
      </c>
      <c r="X147" s="142">
        <v>46218</v>
      </c>
      <c r="Y147" s="103"/>
      <c r="Z147" s="113"/>
      <c r="AA147" s="114"/>
      <c r="AB147" s="114"/>
      <c r="AC147" s="114"/>
      <c r="AD147" s="253"/>
      <c r="AE147" s="251"/>
      <c r="AF147" s="114"/>
      <c r="AG147" s="259"/>
      <c r="AH147" s="259"/>
      <c r="AI147" s="115"/>
      <c r="AJ147" s="116"/>
      <c r="AK147" s="114"/>
      <c r="AL147" s="127"/>
      <c r="AM147" s="114"/>
      <c r="AN147" s="115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 ht="16" customHeight="1">
      <c r="A148" s="9"/>
      <c r="B148" s="71"/>
      <c r="C148" s="136" t="s">
        <v>49</v>
      </c>
      <c r="D148" s="145"/>
      <c r="E148" s="139" t="s">
        <v>245</v>
      </c>
      <c r="F148" s="139" t="s">
        <v>173</v>
      </c>
      <c r="G148" s="139"/>
      <c r="H148" s="140" t="s">
        <v>44</v>
      </c>
      <c r="I148" s="165"/>
      <c r="J148" s="166"/>
      <c r="K148" s="166"/>
      <c r="L148" s="167"/>
      <c r="M148" s="84" t="s">
        <v>45</v>
      </c>
      <c r="N148" s="67">
        <v>0</v>
      </c>
      <c r="O148" s="151">
        <v>46169</v>
      </c>
      <c r="P148" s="152">
        <v>46175</v>
      </c>
      <c r="Q148" s="66" t="s">
        <v>53</v>
      </c>
      <c r="R148" s="67">
        <v>0</v>
      </c>
      <c r="S148" s="72">
        <v>46188</v>
      </c>
      <c r="T148" s="112">
        <v>46199</v>
      </c>
      <c r="U148" s="66" t="s">
        <v>45</v>
      </c>
      <c r="V148" s="67">
        <v>0</v>
      </c>
      <c r="W148" s="141">
        <v>46216</v>
      </c>
      <c r="X148" s="142">
        <v>46218</v>
      </c>
      <c r="Y148" s="103"/>
      <c r="Z148" s="113"/>
      <c r="AA148" s="114"/>
      <c r="AB148" s="114"/>
      <c r="AC148" s="114"/>
      <c r="AD148" s="253"/>
      <c r="AE148" s="251"/>
      <c r="AF148" s="114"/>
      <c r="AG148" s="259"/>
      <c r="AH148" s="259"/>
      <c r="AI148" s="115"/>
      <c r="AJ148" s="116"/>
      <c r="AK148" s="114"/>
      <c r="AL148" s="127"/>
      <c r="AM148" s="114"/>
      <c r="AN148" s="115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 ht="16" customHeight="1">
      <c r="A149" s="9"/>
      <c r="B149" s="71"/>
      <c r="C149" s="136" t="s">
        <v>124</v>
      </c>
      <c r="D149" s="145"/>
      <c r="E149" s="139" t="s">
        <v>245</v>
      </c>
      <c r="F149" s="139" t="s">
        <v>247</v>
      </c>
      <c r="G149" s="139"/>
      <c r="H149" s="140" t="s">
        <v>44</v>
      </c>
      <c r="I149" s="165"/>
      <c r="J149" s="166"/>
      <c r="K149" s="166"/>
      <c r="L149" s="167"/>
      <c r="M149" s="84" t="s">
        <v>45</v>
      </c>
      <c r="N149" s="67">
        <v>0</v>
      </c>
      <c r="O149" s="151">
        <v>46169</v>
      </c>
      <c r="P149" s="152">
        <v>46175</v>
      </c>
      <c r="Q149" s="66" t="s">
        <v>53</v>
      </c>
      <c r="R149" s="67">
        <v>0</v>
      </c>
      <c r="S149" s="72">
        <v>46188</v>
      </c>
      <c r="T149" s="112">
        <v>46199</v>
      </c>
      <c r="U149" s="66" t="s">
        <v>45</v>
      </c>
      <c r="V149" s="67">
        <v>0</v>
      </c>
      <c r="W149" s="141">
        <v>46216</v>
      </c>
      <c r="X149" s="142">
        <v>46218</v>
      </c>
      <c r="Y149" s="103"/>
      <c r="Z149" s="113"/>
      <c r="AA149" s="114"/>
      <c r="AB149" s="114"/>
      <c r="AC149" s="114"/>
      <c r="AD149" s="253"/>
      <c r="AE149" s="251"/>
      <c r="AF149" s="114"/>
      <c r="AG149" s="259"/>
      <c r="AH149" s="259"/>
      <c r="AI149" s="115"/>
      <c r="AJ149" s="116"/>
      <c r="AK149" s="114"/>
      <c r="AL149" s="127"/>
      <c r="AM149" s="114"/>
      <c r="AN149" s="115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 ht="16" customHeight="1">
      <c r="A150" s="9"/>
      <c r="B150" s="71"/>
      <c r="C150" s="136" t="s">
        <v>49</v>
      </c>
      <c r="D150" s="147"/>
      <c r="E150" s="139" t="s">
        <v>245</v>
      </c>
      <c r="F150" s="139" t="s">
        <v>226</v>
      </c>
      <c r="G150" s="139"/>
      <c r="H150" s="140" t="s">
        <v>44</v>
      </c>
      <c r="I150" s="229"/>
      <c r="J150" s="169"/>
      <c r="K150" s="169"/>
      <c r="L150" s="189"/>
      <c r="M150" s="84" t="s">
        <v>45</v>
      </c>
      <c r="N150" s="67">
        <v>0</v>
      </c>
      <c r="O150" s="151">
        <v>46169</v>
      </c>
      <c r="P150" s="152">
        <v>46175</v>
      </c>
      <c r="Q150" s="66" t="s">
        <v>53</v>
      </c>
      <c r="R150" s="67">
        <v>0</v>
      </c>
      <c r="S150" s="72">
        <v>46188</v>
      </c>
      <c r="T150" s="112">
        <v>46199</v>
      </c>
      <c r="U150" s="66" t="s">
        <v>45</v>
      </c>
      <c r="V150" s="67">
        <v>0</v>
      </c>
      <c r="W150" s="141">
        <v>46216</v>
      </c>
      <c r="X150" s="142">
        <v>46218</v>
      </c>
      <c r="Y150" s="235"/>
      <c r="Z150" s="236"/>
      <c r="AA150" s="237"/>
      <c r="AB150" s="237"/>
      <c r="AC150" s="237"/>
      <c r="AD150" s="254"/>
      <c r="AE150" s="255"/>
      <c r="AF150" s="237"/>
      <c r="AG150" s="260"/>
      <c r="AH150" s="260"/>
      <c r="AI150" s="238"/>
      <c r="AJ150" s="239"/>
      <c r="AK150" s="237"/>
      <c r="AL150" s="264"/>
      <c r="AM150" s="237"/>
      <c r="AN150" s="238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 ht="15" customHeight="1">
      <c r="A151" s="9"/>
      <c r="B151" s="71"/>
      <c r="C151" s="223" t="s">
        <v>149</v>
      </c>
      <c r="D151" s="224"/>
      <c r="E151" s="149" t="s">
        <v>248</v>
      </c>
      <c r="F151" s="149"/>
      <c r="G151" s="149"/>
      <c r="H151" s="225" t="s">
        <v>44</v>
      </c>
      <c r="I151" s="226"/>
      <c r="J151" s="227"/>
      <c r="K151" s="227"/>
      <c r="L151" s="228"/>
      <c r="M151" s="84" t="s">
        <v>45</v>
      </c>
      <c r="N151" s="67">
        <v>0</v>
      </c>
      <c r="O151" s="151">
        <v>46169</v>
      </c>
      <c r="P151" s="152">
        <v>46175</v>
      </c>
      <c r="Q151" s="66" t="s">
        <v>53</v>
      </c>
      <c r="R151" s="67">
        <v>0</v>
      </c>
      <c r="S151" s="72">
        <v>46188</v>
      </c>
      <c r="T151" s="112">
        <v>46199</v>
      </c>
      <c r="U151" s="66" t="s">
        <v>45</v>
      </c>
      <c r="V151" s="67">
        <v>0</v>
      </c>
      <c r="W151" s="141">
        <v>46216</v>
      </c>
      <c r="X151" s="142">
        <v>46218</v>
      </c>
      <c r="Y151" s="230"/>
      <c r="Z151" s="231"/>
      <c r="AA151" s="232"/>
      <c r="AB151" s="232"/>
      <c r="AC151" s="232"/>
      <c r="AD151" s="256"/>
      <c r="AE151" s="257"/>
      <c r="AF151" s="232"/>
      <c r="AG151" s="261"/>
      <c r="AH151" s="261"/>
      <c r="AI151" s="233"/>
      <c r="AJ151" s="234"/>
      <c r="AK151" s="232"/>
      <c r="AL151" s="265"/>
      <c r="AM151" s="232"/>
      <c r="AN151" s="233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 ht="15" customHeight="1">
      <c r="A152" s="9"/>
      <c r="B152" s="222"/>
      <c r="C152" s="136" t="s">
        <v>149</v>
      </c>
      <c r="D152" s="145"/>
      <c r="E152" s="139" t="s">
        <v>158</v>
      </c>
      <c r="F152" s="139"/>
      <c r="G152" s="139"/>
      <c r="H152" s="140" t="s">
        <v>44</v>
      </c>
      <c r="I152" s="165"/>
      <c r="J152" s="166"/>
      <c r="K152" s="166"/>
      <c r="L152" s="167"/>
      <c r="M152" s="84" t="s">
        <v>45</v>
      </c>
      <c r="N152" s="67">
        <v>0</v>
      </c>
      <c r="O152" s="151">
        <v>46169</v>
      </c>
      <c r="P152" s="152">
        <v>46175</v>
      </c>
      <c r="Q152" s="66" t="s">
        <v>53</v>
      </c>
      <c r="R152" s="67">
        <v>0</v>
      </c>
      <c r="S152" s="72">
        <v>46188</v>
      </c>
      <c r="T152" s="112">
        <v>46199</v>
      </c>
      <c r="U152" s="66" t="s">
        <v>45</v>
      </c>
      <c r="V152" s="67">
        <v>0</v>
      </c>
      <c r="W152" s="141">
        <v>46216</v>
      </c>
      <c r="X152" s="142">
        <v>46218</v>
      </c>
      <c r="Y152" s="103"/>
      <c r="Z152" s="113"/>
      <c r="AA152" s="114"/>
      <c r="AB152" s="114"/>
      <c r="AC152" s="114"/>
      <c r="AD152" s="253"/>
      <c r="AE152" s="251"/>
      <c r="AF152" s="114"/>
      <c r="AG152" s="259"/>
      <c r="AH152" s="259"/>
      <c r="AI152" s="115"/>
      <c r="AJ152" s="116"/>
      <c r="AK152" s="114"/>
      <c r="AL152" s="127"/>
      <c r="AM152" s="114"/>
      <c r="AN152" s="115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 ht="15" customHeight="1">
      <c r="A153" s="9"/>
      <c r="B153" s="117" t="s">
        <v>249</v>
      </c>
      <c r="C153" s="136" t="s">
        <v>250</v>
      </c>
      <c r="D153" s="145"/>
      <c r="E153" s="139"/>
      <c r="F153" s="139"/>
      <c r="G153" s="139"/>
      <c r="H153" s="140" t="s">
        <v>44</v>
      </c>
      <c r="I153" s="165"/>
      <c r="J153" s="166"/>
      <c r="K153" s="166"/>
      <c r="L153" s="167"/>
      <c r="M153" s="84"/>
      <c r="N153" s="67"/>
      <c r="O153" s="151"/>
      <c r="P153" s="152"/>
      <c r="Q153" s="66"/>
      <c r="R153" s="67"/>
      <c r="S153" s="72"/>
      <c r="T153" s="112"/>
      <c r="U153" s="66"/>
      <c r="V153" s="67"/>
      <c r="W153" s="141">
        <v>46220</v>
      </c>
      <c r="X153" s="142">
        <v>46226</v>
      </c>
      <c r="Y153" s="103"/>
      <c r="Z153" s="113"/>
      <c r="AA153" s="114"/>
      <c r="AB153" s="114"/>
      <c r="AC153" s="114"/>
      <c r="AD153" s="115"/>
      <c r="AE153" s="116"/>
      <c r="AF153" s="114"/>
      <c r="AG153" s="114"/>
      <c r="AH153" s="114"/>
      <c r="AI153" s="115"/>
      <c r="AJ153" s="116"/>
      <c r="AK153" s="114"/>
      <c r="AL153" s="127"/>
      <c r="AM153" s="127"/>
      <c r="AN153" s="115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 ht="15" customHeight="1" thickBot="1">
      <c r="A154" s="9"/>
      <c r="B154" s="243" t="s">
        <v>251</v>
      </c>
      <c r="C154" s="154" t="s">
        <v>250</v>
      </c>
      <c r="D154" s="155"/>
      <c r="E154" s="156"/>
      <c r="F154" s="156"/>
      <c r="G154" s="156"/>
      <c r="H154" s="157" t="s">
        <v>44</v>
      </c>
      <c r="I154" s="212"/>
      <c r="J154" s="175"/>
      <c r="K154" s="175"/>
      <c r="L154" s="213"/>
      <c r="M154" s="158"/>
      <c r="N154" s="77"/>
      <c r="O154" s="159"/>
      <c r="P154" s="160"/>
      <c r="Q154" s="76"/>
      <c r="R154" s="77"/>
      <c r="S154" s="75"/>
      <c r="T154" s="161"/>
      <c r="U154" s="76"/>
      <c r="V154" s="77"/>
      <c r="W154" s="159">
        <v>46227</v>
      </c>
      <c r="X154" s="162">
        <v>46233</v>
      </c>
      <c r="Y154" s="78"/>
      <c r="Z154" s="90"/>
      <c r="AA154" s="85"/>
      <c r="AB154" s="85"/>
      <c r="AC154" s="85"/>
      <c r="AD154" s="86"/>
      <c r="AE154" s="87"/>
      <c r="AF154" s="85"/>
      <c r="AG154" s="85"/>
      <c r="AH154" s="85"/>
      <c r="AI154" s="86"/>
      <c r="AJ154" s="87"/>
      <c r="AK154" s="85"/>
      <c r="AL154" s="85"/>
      <c r="AM154" s="266"/>
      <c r="AN154" s="267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 ht="15" customHeight="1" thickTop="1">
      <c r="A155" s="9"/>
      <c r="B155" s="240"/>
      <c r="C155" s="137"/>
      <c r="D155" s="241"/>
      <c r="E155" s="241"/>
      <c r="F155" s="241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153"/>
      <c r="Z155" s="242"/>
      <c r="AA155" s="242"/>
      <c r="AB155" s="242"/>
      <c r="AC155" s="242"/>
      <c r="AD155" s="242"/>
      <c r="AE155" s="242"/>
      <c r="AF155" s="242"/>
      <c r="AG155" s="242"/>
      <c r="AH155" s="242"/>
      <c r="AI155" s="242"/>
      <c r="AJ155" s="242"/>
      <c r="AK155" s="242"/>
      <c r="AL155" s="242"/>
      <c r="AM155" s="242"/>
      <c r="AN155" s="242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 ht="15" customHeight="1">
      <c r="A156" s="9"/>
      <c r="B156" s="9"/>
      <c r="C156" s="137"/>
      <c r="D156" s="98"/>
      <c r="E156" s="98"/>
      <c r="F156" s="9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70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 ht="15" customHeight="1">
      <c r="A157" s="9"/>
      <c r="B157" s="9"/>
      <c r="C157" s="137"/>
      <c r="D157" s="98"/>
      <c r="E157" s="98"/>
      <c r="F157" s="9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70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 ht="15" customHeight="1">
      <c r="A158" s="9"/>
      <c r="B158" s="9"/>
      <c r="C158" s="137"/>
      <c r="D158" s="98"/>
      <c r="E158" s="98"/>
      <c r="F158" s="9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70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 ht="15" customHeight="1">
      <c r="A159" s="9"/>
      <c r="B159" s="9"/>
      <c r="C159" s="137"/>
      <c r="D159" s="98"/>
      <c r="E159" s="98"/>
      <c r="F159" s="98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70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 ht="15" customHeight="1">
      <c r="A160" s="9"/>
      <c r="B160" s="9"/>
      <c r="C160" s="137"/>
      <c r="D160" s="98"/>
      <c r="E160" s="98"/>
      <c r="F160" s="9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70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 ht="15" customHeight="1">
      <c r="A161" s="9"/>
      <c r="B161" s="9"/>
      <c r="C161" s="137"/>
      <c r="D161" s="98"/>
      <c r="E161" s="98"/>
      <c r="F161" s="98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70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 ht="15" customHeight="1">
      <c r="A162" s="9"/>
      <c r="B162" s="9"/>
      <c r="C162" s="137"/>
      <c r="D162" s="98"/>
      <c r="E162" s="98"/>
      <c r="F162" s="9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70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 ht="15" customHeight="1">
      <c r="A163" s="9"/>
      <c r="B163" s="9"/>
      <c r="C163" s="137"/>
      <c r="D163" s="98"/>
      <c r="E163" s="98"/>
      <c r="F163" s="98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70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 ht="15" customHeight="1">
      <c r="A164" s="9"/>
      <c r="B164" s="9"/>
      <c r="C164" s="137"/>
      <c r="D164" s="98"/>
      <c r="E164" s="98"/>
      <c r="F164" s="98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70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 ht="15" customHeight="1">
      <c r="A165" s="9"/>
      <c r="B165" s="9"/>
      <c r="C165" s="137"/>
      <c r="D165" s="98"/>
      <c r="E165" s="98"/>
      <c r="F165" s="9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70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 ht="15" customHeight="1">
      <c r="A166" s="9"/>
      <c r="B166" s="9"/>
      <c r="C166" s="137"/>
      <c r="D166" s="98"/>
      <c r="E166" s="98"/>
      <c r="F166" s="9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70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 ht="15" customHeight="1">
      <c r="A167" s="9"/>
      <c r="B167" s="9"/>
      <c r="C167" s="137"/>
      <c r="D167" s="98"/>
      <c r="E167" s="98"/>
      <c r="F167" s="98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70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 ht="15" customHeight="1">
      <c r="A168" s="9"/>
      <c r="B168" s="9"/>
      <c r="C168" s="137"/>
      <c r="D168" s="98"/>
      <c r="E168" s="98"/>
      <c r="F168" s="9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70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 ht="15" customHeight="1">
      <c r="A169" s="9"/>
      <c r="B169" s="9"/>
      <c r="C169" s="137"/>
      <c r="D169" s="98"/>
      <c r="E169" s="98"/>
      <c r="F169" s="98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70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 ht="15" customHeight="1">
      <c r="A170" s="9"/>
      <c r="B170" s="9"/>
      <c r="C170" s="137"/>
      <c r="D170" s="98"/>
      <c r="E170" s="98"/>
      <c r="F170" s="9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70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 ht="15" customHeight="1">
      <c r="A171" s="9"/>
      <c r="B171" s="9"/>
      <c r="C171" s="137"/>
      <c r="D171" s="98"/>
      <c r="E171" s="98"/>
      <c r="F171" s="98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70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 ht="15" customHeight="1">
      <c r="A172" s="9"/>
      <c r="B172" s="9"/>
      <c r="C172" s="137"/>
      <c r="D172" s="98"/>
      <c r="E172" s="98"/>
      <c r="F172" s="98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70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 ht="15" customHeight="1">
      <c r="A173" s="9"/>
      <c r="B173" s="9"/>
      <c r="C173" s="137"/>
      <c r="D173" s="98"/>
      <c r="E173" s="98"/>
      <c r="F173" s="98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70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 ht="15" customHeight="1">
      <c r="A174" s="9"/>
      <c r="B174" s="9"/>
      <c r="C174" s="137"/>
      <c r="D174" s="98"/>
      <c r="E174" s="98"/>
      <c r="F174" s="9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70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 ht="15" customHeight="1">
      <c r="A175" s="9"/>
      <c r="B175" s="9"/>
      <c r="C175" s="137"/>
      <c r="D175" s="98"/>
      <c r="E175" s="98"/>
      <c r="F175" s="98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70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 ht="15" customHeight="1">
      <c r="A176" s="9"/>
      <c r="B176" s="9"/>
      <c r="C176" s="137"/>
      <c r="D176" s="98"/>
      <c r="E176" s="98"/>
      <c r="F176" s="9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70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 ht="15" customHeight="1">
      <c r="A177" s="9"/>
      <c r="B177" s="9"/>
      <c r="C177" s="137"/>
      <c r="D177" s="98"/>
      <c r="E177" s="98"/>
      <c r="F177" s="98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70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 ht="15" customHeight="1">
      <c r="A178" s="9"/>
      <c r="B178" s="9"/>
      <c r="C178" s="137"/>
      <c r="D178" s="98"/>
      <c r="E178" s="98"/>
      <c r="F178" s="9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70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 ht="15" customHeight="1">
      <c r="A179" s="9"/>
      <c r="B179" s="9"/>
      <c r="C179" s="137"/>
      <c r="D179" s="98"/>
      <c r="E179" s="98"/>
      <c r="F179" s="98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70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 ht="15" customHeight="1">
      <c r="A180" s="9"/>
      <c r="B180" s="9"/>
      <c r="C180" s="137"/>
      <c r="D180" s="98"/>
      <c r="E180" s="98"/>
      <c r="F180" s="9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70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 ht="15" customHeight="1">
      <c r="A181" s="9"/>
      <c r="B181" s="9"/>
      <c r="C181" s="137"/>
      <c r="D181" s="98"/>
      <c r="E181" s="98"/>
      <c r="F181" s="98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70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 ht="15" customHeight="1">
      <c r="A182" s="9"/>
      <c r="B182" s="9"/>
      <c r="C182" s="137"/>
      <c r="D182" s="98"/>
      <c r="E182" s="98"/>
      <c r="F182" s="9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70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 ht="15" customHeight="1">
      <c r="A183" s="9"/>
      <c r="B183" s="9"/>
      <c r="C183" s="137"/>
      <c r="D183" s="98"/>
      <c r="E183" s="98"/>
      <c r="F183" s="98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70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 ht="15" customHeight="1">
      <c r="A184" s="9"/>
      <c r="B184" s="9"/>
      <c r="C184" s="137"/>
      <c r="D184" s="98"/>
      <c r="E184" s="98"/>
      <c r="F184" s="9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70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 ht="15" customHeight="1">
      <c r="A185" s="9"/>
      <c r="B185" s="9"/>
      <c r="C185" s="137"/>
      <c r="D185" s="98"/>
      <c r="E185" s="98"/>
      <c r="F185" s="9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70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 ht="15" customHeight="1">
      <c r="A186" s="9"/>
      <c r="B186" s="9"/>
      <c r="C186" s="137"/>
      <c r="D186" s="98"/>
      <c r="E186" s="98"/>
      <c r="F186" s="98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70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 ht="15" customHeight="1">
      <c r="A187" s="9"/>
      <c r="B187" s="9"/>
      <c r="C187" s="137"/>
      <c r="D187" s="98"/>
      <c r="E187" s="98"/>
      <c r="F187" s="98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70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 ht="15" customHeight="1">
      <c r="A188" s="9"/>
      <c r="B188" s="9"/>
      <c r="C188" s="137"/>
      <c r="D188" s="98"/>
      <c r="E188" s="98"/>
      <c r="F188" s="9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70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 ht="15" customHeight="1">
      <c r="A189" s="9"/>
      <c r="B189" s="9"/>
      <c r="C189" s="137"/>
      <c r="D189" s="98"/>
      <c r="E189" s="98"/>
      <c r="F189" s="98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70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 ht="15" customHeight="1">
      <c r="A190" s="9"/>
      <c r="B190" s="9"/>
      <c r="C190" s="137"/>
      <c r="D190" s="98"/>
      <c r="E190" s="98"/>
      <c r="F190" s="98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70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 ht="15" customHeight="1">
      <c r="A191" s="9"/>
      <c r="B191" s="9"/>
      <c r="C191" s="137"/>
      <c r="D191" s="98"/>
      <c r="E191" s="98"/>
      <c r="F191" s="9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70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 ht="15" customHeight="1">
      <c r="A192" s="9"/>
      <c r="B192" s="9"/>
      <c r="C192" s="137"/>
      <c r="D192" s="98"/>
      <c r="E192" s="98"/>
      <c r="F192" s="98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70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 ht="15" customHeight="1">
      <c r="A193" s="9"/>
      <c r="B193" s="9"/>
      <c r="C193" s="137"/>
      <c r="D193" s="98"/>
      <c r="E193" s="98"/>
      <c r="F193" s="98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70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 ht="15" customHeight="1">
      <c r="A194" s="9"/>
      <c r="B194" s="9"/>
      <c r="C194" s="137"/>
      <c r="D194" s="98"/>
      <c r="E194" s="98"/>
      <c r="F194" s="9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70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 ht="15" customHeight="1">
      <c r="A195" s="9"/>
      <c r="B195" s="9"/>
      <c r="C195" s="137"/>
      <c r="D195" s="98"/>
      <c r="E195" s="98"/>
      <c r="F195" s="98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70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 ht="15" customHeight="1">
      <c r="A196" s="9"/>
      <c r="B196" s="9"/>
      <c r="C196" s="137"/>
      <c r="D196" s="98"/>
      <c r="E196" s="98"/>
      <c r="F196" s="98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70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 ht="15" customHeight="1">
      <c r="A197" s="9"/>
      <c r="B197" s="9"/>
      <c r="C197" s="137"/>
      <c r="D197" s="98"/>
      <c r="E197" s="98"/>
      <c r="F197" s="98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70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 ht="15" customHeight="1">
      <c r="A198" s="9"/>
      <c r="B198" s="9"/>
      <c r="C198" s="137"/>
      <c r="D198" s="98"/>
      <c r="E198" s="98"/>
      <c r="F198" s="9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70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 ht="15" customHeight="1">
      <c r="A199" s="9"/>
      <c r="B199" s="9"/>
      <c r="C199" s="137"/>
      <c r="D199" s="98"/>
      <c r="E199" s="98"/>
      <c r="F199" s="98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70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 ht="15" customHeight="1">
      <c r="A200" s="9"/>
      <c r="B200" s="9"/>
      <c r="C200" s="137"/>
      <c r="D200" s="98"/>
      <c r="E200" s="98"/>
      <c r="F200" s="98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70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  <row r="201" spans="1:52" ht="15" customHeight="1">
      <c r="A201" s="9"/>
      <c r="B201" s="9"/>
      <c r="C201" s="137"/>
      <c r="D201" s="98"/>
      <c r="E201" s="98"/>
      <c r="F201" s="98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70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</row>
    <row r="202" spans="1:52" ht="15" customHeight="1">
      <c r="A202" s="9"/>
      <c r="B202" s="9"/>
      <c r="C202" s="137"/>
      <c r="D202" s="98"/>
      <c r="E202" s="98"/>
      <c r="F202" s="98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70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</row>
    <row r="203" spans="1:52" ht="15" customHeight="1">
      <c r="A203" s="9"/>
      <c r="B203" s="9"/>
      <c r="C203" s="137"/>
      <c r="D203" s="98"/>
      <c r="E203" s="98"/>
      <c r="F203" s="98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70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</row>
    <row r="204" spans="1:52" ht="15" customHeight="1">
      <c r="A204" s="9"/>
      <c r="B204" s="9"/>
      <c r="C204" s="137"/>
      <c r="D204" s="98"/>
      <c r="E204" s="98"/>
      <c r="F204" s="98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70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</row>
    <row r="205" spans="1:52" ht="15" customHeight="1">
      <c r="A205" s="9"/>
      <c r="B205" s="9"/>
      <c r="C205" s="137"/>
      <c r="D205" s="98"/>
      <c r="E205" s="98"/>
      <c r="F205" s="98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70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</row>
    <row r="206" spans="1:52" ht="15" customHeight="1">
      <c r="A206" s="9"/>
      <c r="B206" s="9"/>
      <c r="C206" s="137"/>
      <c r="D206" s="98"/>
      <c r="E206" s="98"/>
      <c r="F206" s="98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70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</row>
    <row r="207" spans="1:52" ht="15" customHeight="1">
      <c r="A207" s="9"/>
      <c r="B207" s="9"/>
      <c r="C207" s="137"/>
      <c r="D207" s="98"/>
      <c r="E207" s="98"/>
      <c r="F207" s="98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70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</row>
    <row r="208" spans="1:52" ht="15" customHeight="1">
      <c r="A208" s="9"/>
      <c r="B208" s="9"/>
      <c r="C208" s="137"/>
      <c r="D208" s="98"/>
      <c r="E208" s="98"/>
      <c r="F208" s="9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70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</row>
    <row r="209" spans="1:52" ht="15" customHeight="1">
      <c r="A209" s="9"/>
      <c r="B209" s="9"/>
      <c r="C209" s="137"/>
      <c r="D209" s="98"/>
      <c r="E209" s="98"/>
      <c r="F209" s="98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70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</row>
    <row r="210" spans="1:52" ht="15" customHeight="1">
      <c r="A210" s="9"/>
      <c r="B210" s="9"/>
      <c r="C210" s="137"/>
      <c r="D210" s="98"/>
      <c r="E210" s="98"/>
      <c r="F210" s="98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70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</row>
    <row r="211" spans="1:52" ht="15" customHeight="1">
      <c r="A211" s="9"/>
      <c r="B211" s="9"/>
      <c r="C211" s="137"/>
      <c r="D211" s="98"/>
      <c r="E211" s="98"/>
      <c r="F211" s="98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70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</row>
    <row r="212" spans="1:52" ht="15" customHeight="1">
      <c r="A212" s="9"/>
      <c r="B212" s="9"/>
      <c r="C212" s="137"/>
      <c r="D212" s="98"/>
      <c r="E212" s="98"/>
      <c r="F212" s="98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70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</row>
    <row r="213" spans="1:52" ht="15" customHeight="1">
      <c r="A213" s="9"/>
      <c r="B213" s="9"/>
      <c r="C213" s="137"/>
      <c r="D213" s="98"/>
      <c r="E213" s="98"/>
      <c r="F213" s="98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70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</row>
    <row r="214" spans="1:52" ht="15" customHeight="1">
      <c r="A214" s="9"/>
      <c r="B214" s="9"/>
      <c r="C214" s="137"/>
      <c r="D214" s="98"/>
      <c r="E214" s="98"/>
      <c r="F214" s="98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70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</row>
    <row r="215" spans="1:52" ht="15" customHeight="1">
      <c r="A215" s="9"/>
      <c r="B215" s="9"/>
      <c r="C215" s="137"/>
      <c r="D215" s="98"/>
      <c r="E215" s="98"/>
      <c r="F215" s="98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70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</row>
    <row r="216" spans="1:52" ht="15" customHeight="1">
      <c r="A216" s="9"/>
      <c r="B216" s="9"/>
      <c r="C216" s="137"/>
      <c r="D216" s="98"/>
      <c r="E216" s="98"/>
      <c r="F216" s="98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70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</row>
    <row r="217" spans="1:52" ht="15" customHeight="1">
      <c r="A217" s="9"/>
      <c r="B217" s="9"/>
      <c r="C217" s="137"/>
      <c r="D217" s="98"/>
      <c r="E217" s="98"/>
      <c r="F217" s="98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70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</row>
    <row r="218" spans="1:52" ht="15" customHeight="1">
      <c r="A218" s="9"/>
      <c r="B218" s="9"/>
      <c r="C218" s="137"/>
      <c r="D218" s="98"/>
      <c r="E218" s="98"/>
      <c r="F218" s="98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70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</row>
    <row r="219" spans="1:52" ht="15" customHeight="1">
      <c r="A219" s="9"/>
      <c r="B219" s="9"/>
      <c r="C219" s="137"/>
      <c r="D219" s="98"/>
      <c r="E219" s="98"/>
      <c r="F219" s="98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70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</row>
    <row r="220" spans="1:52" ht="15" customHeight="1">
      <c r="A220" s="9"/>
      <c r="B220" s="9"/>
      <c r="C220" s="137"/>
      <c r="D220" s="98"/>
      <c r="E220" s="98"/>
      <c r="F220" s="98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70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</row>
    <row r="221" spans="1:52" ht="15" customHeight="1">
      <c r="A221" s="9"/>
      <c r="B221" s="9"/>
      <c r="C221" s="137"/>
      <c r="D221" s="98"/>
      <c r="E221" s="98"/>
      <c r="F221" s="98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70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</row>
    <row r="222" spans="1:52" ht="15" customHeight="1">
      <c r="A222" s="9"/>
      <c r="B222" s="9"/>
      <c r="C222" s="137"/>
      <c r="D222" s="98"/>
      <c r="E222" s="98"/>
      <c r="F222" s="98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70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</row>
    <row r="223" spans="1:52" ht="15" customHeight="1">
      <c r="A223" s="9"/>
      <c r="B223" s="9"/>
      <c r="C223" s="137"/>
      <c r="D223" s="98"/>
      <c r="E223" s="98"/>
      <c r="F223" s="98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70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</row>
    <row r="224" spans="1:52" ht="15" customHeight="1">
      <c r="A224" s="9"/>
      <c r="B224" s="9"/>
      <c r="C224" s="137"/>
      <c r="D224" s="98"/>
      <c r="E224" s="98"/>
      <c r="F224" s="98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70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</row>
    <row r="225" spans="1:52" ht="15" customHeight="1">
      <c r="A225" s="9"/>
      <c r="B225" s="9"/>
      <c r="C225" s="137"/>
      <c r="D225" s="98"/>
      <c r="E225" s="98"/>
      <c r="F225" s="98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70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</row>
    <row r="226" spans="1:52" ht="15" customHeight="1">
      <c r="A226" s="9"/>
      <c r="B226" s="9"/>
      <c r="C226" s="137"/>
      <c r="D226" s="98"/>
      <c r="E226" s="98"/>
      <c r="F226" s="98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70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</row>
    <row r="227" spans="1:52" ht="15" customHeight="1">
      <c r="A227" s="9"/>
      <c r="B227" s="9"/>
      <c r="C227" s="137"/>
      <c r="D227" s="98"/>
      <c r="E227" s="98"/>
      <c r="F227" s="98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70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</row>
    <row r="228" spans="1:52" ht="15" customHeight="1">
      <c r="A228" s="9"/>
      <c r="B228" s="9"/>
      <c r="C228" s="137"/>
      <c r="D228" s="98"/>
      <c r="E228" s="98"/>
      <c r="F228" s="98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70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</row>
    <row r="229" spans="1:52" ht="15" customHeight="1">
      <c r="A229" s="9"/>
      <c r="B229" s="9"/>
      <c r="C229" s="137"/>
      <c r="D229" s="98"/>
      <c r="E229" s="98"/>
      <c r="F229" s="98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70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</row>
    <row r="230" spans="1:52" ht="15" customHeight="1">
      <c r="A230" s="9"/>
      <c r="B230" s="9"/>
      <c r="C230" s="137"/>
      <c r="D230" s="98"/>
      <c r="E230" s="98"/>
      <c r="F230" s="98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70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</row>
    <row r="231" spans="1:52" ht="15" customHeight="1">
      <c r="A231" s="9"/>
      <c r="B231" s="9"/>
      <c r="C231" s="137"/>
      <c r="D231" s="98"/>
      <c r="E231" s="98"/>
      <c r="F231" s="98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70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</row>
    <row r="232" spans="1:52" ht="15" customHeight="1">
      <c r="A232" s="9"/>
      <c r="B232" s="9"/>
      <c r="C232" s="137"/>
      <c r="D232" s="98"/>
      <c r="E232" s="98"/>
      <c r="F232" s="98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70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</row>
    <row r="233" spans="1:52" ht="15" customHeight="1">
      <c r="A233" s="9"/>
      <c r="B233" s="9"/>
      <c r="C233" s="137"/>
      <c r="D233" s="98"/>
      <c r="E233" s="98"/>
      <c r="F233" s="98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70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</row>
    <row r="234" spans="1:52" ht="15" customHeight="1">
      <c r="A234" s="9"/>
      <c r="B234" s="9"/>
      <c r="C234" s="137"/>
      <c r="D234" s="98"/>
      <c r="E234" s="98"/>
      <c r="F234" s="98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70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</row>
    <row r="235" spans="1:52" ht="15" customHeight="1">
      <c r="A235" s="9"/>
      <c r="B235" s="9"/>
      <c r="C235" s="137"/>
      <c r="D235" s="98"/>
      <c r="E235" s="98"/>
      <c r="F235" s="98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70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</row>
    <row r="236" spans="1:52" ht="15" customHeight="1">
      <c r="A236" s="9"/>
      <c r="B236" s="9"/>
      <c r="C236" s="137"/>
      <c r="D236" s="98"/>
      <c r="E236" s="98"/>
      <c r="F236" s="98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70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</row>
    <row r="237" spans="1:52" ht="15" customHeight="1">
      <c r="A237" s="9"/>
      <c r="B237" s="9"/>
      <c r="C237" s="137"/>
      <c r="D237" s="98"/>
      <c r="E237" s="98"/>
      <c r="F237" s="98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70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</row>
    <row r="238" spans="1:52" ht="15" customHeight="1">
      <c r="A238" s="9"/>
      <c r="B238" s="9"/>
      <c r="C238" s="137"/>
      <c r="D238" s="98"/>
      <c r="E238" s="98"/>
      <c r="F238" s="98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70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</row>
    <row r="239" spans="1:52" ht="15" customHeight="1">
      <c r="A239" s="9"/>
      <c r="B239" s="9"/>
      <c r="C239" s="137"/>
      <c r="D239" s="98"/>
      <c r="E239" s="98"/>
      <c r="F239" s="98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70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</row>
    <row r="240" spans="1:52" ht="15" customHeight="1">
      <c r="A240" s="9"/>
      <c r="B240" s="9"/>
      <c r="C240" s="137"/>
      <c r="D240" s="98"/>
      <c r="E240" s="98"/>
      <c r="F240" s="98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70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</row>
    <row r="241" spans="1:52" ht="15" customHeight="1">
      <c r="A241" s="9"/>
      <c r="B241" s="9"/>
      <c r="C241" s="137"/>
      <c r="D241" s="98"/>
      <c r="E241" s="98"/>
      <c r="F241" s="98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70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</row>
    <row r="242" spans="1:52" ht="15" customHeight="1">
      <c r="A242" s="9"/>
      <c r="B242" s="9"/>
      <c r="C242" s="137"/>
      <c r="D242" s="98"/>
      <c r="E242" s="98"/>
      <c r="F242" s="98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70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</row>
    <row r="243" spans="1:52" ht="15" customHeight="1">
      <c r="A243" s="9"/>
      <c r="B243" s="9"/>
      <c r="C243" s="137"/>
      <c r="D243" s="98"/>
      <c r="E243" s="98"/>
      <c r="F243" s="98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70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</row>
    <row r="244" spans="1:52" ht="15" customHeight="1">
      <c r="A244" s="9"/>
      <c r="B244" s="9"/>
      <c r="C244" s="137"/>
      <c r="D244" s="98"/>
      <c r="E244" s="98"/>
      <c r="F244" s="98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70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</row>
    <row r="245" spans="1:52" ht="15" customHeight="1">
      <c r="A245" s="9"/>
      <c r="B245" s="9"/>
      <c r="C245" s="137"/>
      <c r="D245" s="98"/>
      <c r="E245" s="98"/>
      <c r="F245" s="98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70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</row>
    <row r="246" spans="1:52" ht="15" customHeight="1">
      <c r="A246" s="9"/>
      <c r="B246" s="9"/>
      <c r="C246" s="137"/>
      <c r="D246" s="98"/>
      <c r="E246" s="98"/>
      <c r="F246" s="98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70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</row>
    <row r="247" spans="1:52" ht="15" customHeight="1">
      <c r="A247" s="9"/>
      <c r="B247" s="9"/>
      <c r="C247" s="137"/>
      <c r="D247" s="98"/>
      <c r="E247" s="98"/>
      <c r="F247" s="98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70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</row>
    <row r="248" spans="1:52" ht="15" customHeight="1">
      <c r="A248" s="9"/>
      <c r="B248" s="9"/>
      <c r="C248" s="137"/>
      <c r="D248" s="98"/>
      <c r="E248" s="98"/>
      <c r="F248" s="9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70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</row>
    <row r="249" spans="1:52" ht="15" customHeight="1">
      <c r="A249" s="9"/>
      <c r="B249" s="9"/>
      <c r="C249" s="137"/>
      <c r="D249" s="98"/>
      <c r="E249" s="98"/>
      <c r="F249" s="98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70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</row>
    <row r="250" spans="1:52" ht="15" customHeight="1">
      <c r="A250" s="9"/>
      <c r="B250" s="9"/>
      <c r="C250" s="137"/>
      <c r="D250" s="98"/>
      <c r="E250" s="98"/>
      <c r="F250" s="98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70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</row>
    <row r="251" spans="1:52" ht="15" customHeight="1">
      <c r="A251" s="9"/>
      <c r="B251" s="9"/>
      <c r="C251" s="137"/>
      <c r="D251" s="98"/>
      <c r="E251" s="98"/>
      <c r="F251" s="98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70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</row>
    <row r="252" spans="1:52" ht="15" customHeight="1">
      <c r="A252" s="9"/>
      <c r="B252" s="9"/>
      <c r="C252" s="137"/>
      <c r="D252" s="98"/>
      <c r="E252" s="98"/>
      <c r="F252" s="98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70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</row>
    <row r="253" spans="1:52" ht="15" customHeight="1">
      <c r="A253" s="9"/>
      <c r="B253" s="9"/>
      <c r="C253" s="137"/>
      <c r="D253" s="98"/>
      <c r="E253" s="98"/>
      <c r="F253" s="98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70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</row>
    <row r="254" spans="1:52" ht="15" customHeight="1">
      <c r="A254" s="9"/>
      <c r="B254" s="9"/>
      <c r="C254" s="137"/>
      <c r="D254" s="98"/>
      <c r="E254" s="98"/>
      <c r="F254" s="98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70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</row>
    <row r="255" spans="1:52" ht="15" customHeight="1">
      <c r="A255" s="9"/>
      <c r="B255" s="9"/>
      <c r="C255" s="137"/>
      <c r="D255" s="98"/>
      <c r="E255" s="98"/>
      <c r="F255" s="98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70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</row>
    <row r="256" spans="1:52" ht="15" customHeight="1">
      <c r="A256" s="9"/>
      <c r="B256" s="9"/>
      <c r="C256" s="137"/>
      <c r="D256" s="98"/>
      <c r="E256" s="98"/>
      <c r="F256" s="98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70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</row>
    <row r="257" spans="1:52" ht="15" customHeight="1">
      <c r="A257" s="9"/>
      <c r="B257" s="9"/>
      <c r="C257" s="137"/>
      <c r="D257" s="98"/>
      <c r="E257" s="98"/>
      <c r="F257" s="98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70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</row>
    <row r="258" spans="1:52" ht="15" customHeight="1">
      <c r="A258" s="9"/>
      <c r="B258" s="9"/>
      <c r="C258" s="137"/>
      <c r="D258" s="98"/>
      <c r="E258" s="98"/>
      <c r="F258" s="98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70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</row>
    <row r="259" spans="1:52" ht="15" customHeight="1">
      <c r="A259" s="9"/>
      <c r="B259" s="9"/>
      <c r="C259" s="137"/>
      <c r="D259" s="98"/>
      <c r="E259" s="98"/>
      <c r="F259" s="98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70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</row>
    <row r="260" spans="1:52" ht="15" customHeight="1">
      <c r="A260" s="9"/>
      <c r="B260" s="9"/>
      <c r="C260" s="137"/>
      <c r="D260" s="98"/>
      <c r="E260" s="98"/>
      <c r="F260" s="98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70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</row>
    <row r="261" spans="1:52" ht="15" customHeight="1">
      <c r="A261" s="9"/>
      <c r="B261" s="9"/>
      <c r="C261" s="137"/>
      <c r="D261" s="98"/>
      <c r="E261" s="98"/>
      <c r="F261" s="98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70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</row>
    <row r="262" spans="1:52" ht="15" customHeight="1">
      <c r="A262" s="9"/>
      <c r="B262" s="9"/>
      <c r="C262" s="137"/>
      <c r="D262" s="98"/>
      <c r="E262" s="98"/>
      <c r="F262" s="98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70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</row>
    <row r="263" spans="1:52" ht="15" customHeight="1">
      <c r="A263" s="9"/>
      <c r="B263" s="9"/>
      <c r="C263" s="137"/>
      <c r="D263" s="98"/>
      <c r="E263" s="98"/>
      <c r="F263" s="98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70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</row>
    <row r="264" spans="1:52" ht="15" customHeight="1">
      <c r="A264" s="9"/>
      <c r="B264" s="9"/>
      <c r="C264" s="137"/>
      <c r="D264" s="98"/>
      <c r="E264" s="98"/>
      <c r="F264" s="98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70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</row>
    <row r="265" spans="1:52" ht="15" customHeight="1">
      <c r="A265" s="9"/>
      <c r="B265" s="9"/>
      <c r="C265" s="137"/>
      <c r="D265" s="98"/>
      <c r="E265" s="98"/>
      <c r="F265" s="98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70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</row>
    <row r="266" spans="1:52" ht="15" customHeight="1">
      <c r="A266" s="9"/>
      <c r="B266" s="9"/>
      <c r="C266" s="137"/>
      <c r="D266" s="98"/>
      <c r="E266" s="98"/>
      <c r="F266" s="98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70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</row>
    <row r="267" spans="1:52" ht="15" customHeight="1">
      <c r="A267" s="9"/>
      <c r="B267" s="9"/>
      <c r="C267" s="137"/>
      <c r="D267" s="98"/>
      <c r="E267" s="98"/>
      <c r="F267" s="98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70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</row>
    <row r="268" spans="1:52" ht="15" customHeight="1">
      <c r="A268" s="9"/>
      <c r="B268" s="9"/>
      <c r="C268" s="137"/>
      <c r="D268" s="98"/>
      <c r="E268" s="98"/>
      <c r="F268" s="98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70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</row>
    <row r="269" spans="1:52" ht="15" customHeight="1">
      <c r="A269" s="9"/>
      <c r="B269" s="9"/>
      <c r="C269" s="137"/>
      <c r="D269" s="98"/>
      <c r="E269" s="98"/>
      <c r="F269" s="98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70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</row>
    <row r="270" spans="1:52" ht="15" customHeight="1">
      <c r="A270" s="9"/>
      <c r="B270" s="9"/>
      <c r="C270" s="137"/>
      <c r="D270" s="98"/>
      <c r="E270" s="98"/>
      <c r="F270" s="98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70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</row>
    <row r="271" spans="1:52" ht="15" customHeight="1">
      <c r="A271" s="9"/>
      <c r="B271" s="9"/>
      <c r="C271" s="137"/>
      <c r="D271" s="98"/>
      <c r="E271" s="98"/>
      <c r="F271" s="98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70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</row>
    <row r="272" spans="1:52" ht="15" customHeight="1">
      <c r="A272" s="9"/>
      <c r="B272" s="9"/>
      <c r="C272" s="137"/>
      <c r="D272" s="98"/>
      <c r="E272" s="98"/>
      <c r="F272" s="98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70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</row>
    <row r="273" spans="1:52" ht="15" customHeight="1">
      <c r="A273" s="9"/>
      <c r="B273" s="9"/>
      <c r="C273" s="137"/>
      <c r="D273" s="98"/>
      <c r="E273" s="98"/>
      <c r="F273" s="98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70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</row>
    <row r="274" spans="1:52" ht="15" customHeight="1">
      <c r="A274" s="9"/>
      <c r="B274" s="9"/>
      <c r="C274" s="137"/>
      <c r="D274" s="98"/>
      <c r="E274" s="98"/>
      <c r="F274" s="98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70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</row>
    <row r="275" spans="1:52" ht="15" customHeight="1">
      <c r="A275" s="9"/>
      <c r="B275" s="9"/>
      <c r="C275" s="137"/>
      <c r="D275" s="98"/>
      <c r="E275" s="98"/>
      <c r="F275" s="98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70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</row>
    <row r="276" spans="1:52" ht="15" customHeight="1">
      <c r="A276" s="9"/>
      <c r="B276" s="9"/>
      <c r="C276" s="137"/>
      <c r="D276" s="98"/>
      <c r="E276" s="98"/>
      <c r="F276" s="98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70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</row>
    <row r="277" spans="1:52" ht="15" customHeight="1">
      <c r="A277" s="9"/>
      <c r="B277" s="9"/>
      <c r="C277" s="137"/>
      <c r="D277" s="98"/>
      <c r="E277" s="98"/>
      <c r="F277" s="98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70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</row>
    <row r="278" spans="1:52" ht="15" customHeight="1">
      <c r="A278" s="9"/>
      <c r="B278" s="9"/>
      <c r="C278" s="137"/>
      <c r="D278" s="98"/>
      <c r="E278" s="98"/>
      <c r="F278" s="98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80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</row>
    <row r="279" spans="1:52" ht="15" customHeight="1">
      <c r="A279" s="9"/>
      <c r="B279" s="9"/>
      <c r="C279" s="137"/>
      <c r="D279" s="98"/>
      <c r="E279" s="98"/>
      <c r="F279" s="98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70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</row>
    <row r="280" spans="1:52" ht="15" customHeight="1">
      <c r="A280" s="9"/>
      <c r="B280" s="9"/>
      <c r="C280" s="137"/>
      <c r="D280" s="98"/>
      <c r="E280" s="98"/>
      <c r="F280" s="98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70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</row>
    <row r="281" spans="1:52" ht="15" customHeight="1">
      <c r="A281" s="9"/>
      <c r="B281" s="9"/>
      <c r="C281" s="137"/>
      <c r="D281" s="98"/>
      <c r="E281" s="98"/>
      <c r="F281" s="98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70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</row>
    <row r="282" spans="1:52" ht="15" customHeight="1">
      <c r="A282" s="9"/>
      <c r="B282" s="9"/>
      <c r="C282" s="137"/>
      <c r="D282" s="98"/>
      <c r="E282" s="98"/>
      <c r="F282" s="98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70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</row>
    <row r="283" spans="1:52" ht="15" customHeight="1">
      <c r="A283" s="9"/>
      <c r="B283" s="9"/>
      <c r="C283" s="137"/>
      <c r="D283" s="98"/>
      <c r="E283" s="98"/>
      <c r="F283" s="98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70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</row>
    <row r="284" spans="1:52" ht="15" customHeight="1">
      <c r="A284" s="9"/>
      <c r="B284" s="9"/>
      <c r="C284" s="137"/>
      <c r="D284" s="98"/>
      <c r="E284" s="98"/>
      <c r="F284" s="98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70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</row>
    <row r="285" spans="1:52" ht="15" customHeight="1">
      <c r="A285" s="9"/>
      <c r="B285" s="9"/>
      <c r="C285" s="137"/>
      <c r="D285" s="98"/>
      <c r="E285" s="98"/>
      <c r="F285" s="98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70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</row>
    <row r="286" spans="1:52" ht="15" customHeight="1">
      <c r="A286" s="9"/>
      <c r="B286" s="9"/>
      <c r="C286" s="137"/>
      <c r="D286" s="98"/>
      <c r="E286" s="98"/>
      <c r="F286" s="98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70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</row>
    <row r="287" spans="1:52" ht="15" customHeight="1">
      <c r="A287" s="9"/>
      <c r="B287" s="9"/>
      <c r="C287" s="137"/>
      <c r="D287" s="98"/>
      <c r="E287" s="98"/>
      <c r="F287" s="98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70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</row>
    <row r="288" spans="1:52" ht="15" customHeight="1">
      <c r="A288" s="9"/>
      <c r="B288" s="9"/>
      <c r="C288" s="137"/>
      <c r="D288" s="98"/>
      <c r="E288" s="98"/>
      <c r="F288" s="98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70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</row>
    <row r="289" spans="1:52" ht="15" customHeight="1">
      <c r="A289" s="9"/>
      <c r="B289" s="9"/>
      <c r="C289" s="137"/>
      <c r="D289" s="98"/>
      <c r="E289" s="98"/>
      <c r="F289" s="98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70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</row>
    <row r="290" spans="1:52" ht="15" customHeight="1">
      <c r="A290" s="9"/>
      <c r="B290" s="9"/>
      <c r="C290" s="137"/>
      <c r="D290" s="98"/>
      <c r="E290" s="98"/>
      <c r="F290" s="98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70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</row>
    <row r="291" spans="1:52" ht="15" customHeight="1">
      <c r="A291" s="9"/>
      <c r="B291" s="9"/>
      <c r="C291" s="137"/>
      <c r="D291" s="98"/>
      <c r="E291" s="98"/>
      <c r="F291" s="98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70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</row>
    <row r="292" spans="1:52" ht="15" customHeight="1">
      <c r="A292" s="9"/>
      <c r="B292" s="9"/>
      <c r="C292" s="137"/>
      <c r="D292" s="98"/>
      <c r="E292" s="98"/>
      <c r="F292" s="98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70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</row>
    <row r="293" spans="1:52" ht="15" customHeight="1">
      <c r="A293" s="9"/>
      <c r="B293" s="9"/>
      <c r="C293" s="137"/>
      <c r="D293" s="98"/>
      <c r="E293" s="98"/>
      <c r="F293" s="98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70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</row>
    <row r="294" spans="1:52" ht="15" customHeight="1">
      <c r="A294" s="9"/>
      <c r="B294" s="9"/>
      <c r="C294" s="137"/>
      <c r="D294" s="98"/>
      <c r="E294" s="98"/>
      <c r="F294" s="98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70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</row>
    <row r="295" spans="1:52" ht="15" customHeight="1">
      <c r="A295" s="9"/>
      <c r="B295" s="9"/>
      <c r="C295" s="137"/>
      <c r="D295" s="98"/>
      <c r="E295" s="98"/>
      <c r="F295" s="98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70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</row>
    <row r="296" spans="1:52" ht="15" customHeight="1">
      <c r="A296" s="9"/>
      <c r="B296" s="9"/>
      <c r="C296" s="137"/>
      <c r="D296" s="98"/>
      <c r="E296" s="98"/>
      <c r="F296" s="98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70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</row>
    <row r="297" spans="1:52" ht="15" customHeight="1">
      <c r="A297" s="9"/>
      <c r="B297" s="9"/>
      <c r="C297" s="137"/>
      <c r="D297" s="98"/>
      <c r="E297" s="98"/>
      <c r="F297" s="98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70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</row>
    <row r="298" spans="1:52" ht="15.75" customHeight="1">
      <c r="A298" s="9"/>
      <c r="B298" s="9"/>
      <c r="C298" s="137"/>
      <c r="D298" s="98"/>
      <c r="E298" s="98"/>
      <c r="F298" s="98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</row>
    <row r="299" spans="1:52" ht="15.75" customHeight="1">
      <c r="A299" s="9"/>
      <c r="B299" s="9"/>
      <c r="C299" s="137"/>
      <c r="D299" s="98"/>
      <c r="E299" s="98"/>
      <c r="F299" s="98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</row>
    <row r="300" spans="1:52" ht="15.75" customHeight="1">
      <c r="A300" s="9"/>
      <c r="B300" s="9"/>
      <c r="C300" s="137"/>
      <c r="D300" s="98"/>
      <c r="E300" s="98"/>
      <c r="F300" s="98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</row>
    <row r="301" spans="1:52" ht="15.75" customHeight="1">
      <c r="A301" s="9"/>
      <c r="B301" s="9"/>
      <c r="C301" s="137"/>
      <c r="D301" s="98"/>
      <c r="E301" s="98"/>
      <c r="F301" s="98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</row>
    <row r="302" spans="1:52" ht="15.75" customHeight="1">
      <c r="A302" s="9"/>
      <c r="B302" s="9"/>
      <c r="C302" s="137"/>
      <c r="D302" s="98"/>
      <c r="E302" s="98"/>
      <c r="F302" s="98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</row>
    <row r="303" spans="1:52" ht="15.75" customHeight="1">
      <c r="A303" s="9"/>
      <c r="B303" s="9"/>
      <c r="C303" s="137"/>
      <c r="D303" s="98"/>
      <c r="E303" s="98"/>
      <c r="F303" s="98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</row>
    <row r="304" spans="1:52" ht="15.75" customHeight="1">
      <c r="A304" s="9"/>
      <c r="B304" s="9"/>
      <c r="C304" s="137"/>
      <c r="D304" s="98"/>
      <c r="E304" s="98"/>
      <c r="F304" s="98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</row>
    <row r="305" spans="1:52" ht="15.75" customHeight="1">
      <c r="A305" s="9"/>
      <c r="B305" s="9"/>
      <c r="C305" s="137"/>
      <c r="D305" s="98"/>
      <c r="E305" s="98"/>
      <c r="F305" s="98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</row>
    <row r="306" spans="1:52" ht="15.75" customHeight="1">
      <c r="A306" s="9"/>
      <c r="B306" s="9"/>
      <c r="C306" s="137"/>
      <c r="D306" s="98"/>
      <c r="E306" s="98"/>
      <c r="F306" s="98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</row>
    <row r="307" spans="1:52" ht="15.75" customHeight="1">
      <c r="A307" s="9"/>
      <c r="B307" s="9"/>
      <c r="C307" s="137"/>
      <c r="D307" s="98"/>
      <c r="E307" s="98"/>
      <c r="F307" s="98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</row>
    <row r="308" spans="1:52" ht="15.75" customHeight="1">
      <c r="A308" s="9"/>
      <c r="B308" s="9"/>
      <c r="C308" s="137"/>
      <c r="D308" s="98"/>
      <c r="E308" s="98"/>
      <c r="F308" s="98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</row>
    <row r="309" spans="1:52" ht="15.75" customHeight="1">
      <c r="A309" s="9"/>
      <c r="B309" s="9"/>
      <c r="C309" s="137"/>
      <c r="D309" s="98"/>
      <c r="E309" s="98"/>
      <c r="F309" s="98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</row>
    <row r="310" spans="1:52" ht="15.75" customHeight="1">
      <c r="A310" s="9"/>
      <c r="B310" s="9"/>
      <c r="C310" s="137"/>
      <c r="D310" s="98"/>
      <c r="E310" s="98"/>
      <c r="F310" s="98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</row>
    <row r="311" spans="1:52" ht="15.75" customHeight="1">
      <c r="A311" s="9"/>
      <c r="B311" s="9"/>
      <c r="C311" s="137"/>
      <c r="D311" s="98"/>
      <c r="E311" s="98"/>
      <c r="F311" s="98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</row>
    <row r="312" spans="1:52" ht="15.75" customHeight="1">
      <c r="A312" s="9"/>
      <c r="B312" s="9"/>
      <c r="C312" s="137"/>
      <c r="D312" s="98"/>
      <c r="E312" s="98"/>
      <c r="F312" s="98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</row>
    <row r="313" spans="1:52" ht="15.75" customHeight="1">
      <c r="A313" s="9"/>
      <c r="B313" s="9"/>
      <c r="C313" s="137"/>
      <c r="D313" s="98"/>
      <c r="E313" s="98"/>
      <c r="F313" s="98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</row>
    <row r="314" spans="1:52" ht="15.75" customHeight="1">
      <c r="A314" s="9"/>
      <c r="B314" s="9"/>
      <c r="C314" s="137"/>
      <c r="D314" s="98"/>
      <c r="E314" s="98"/>
      <c r="F314" s="98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</row>
    <row r="315" spans="1:52" ht="15.75" customHeight="1">
      <c r="A315" s="9"/>
      <c r="B315" s="9"/>
      <c r="C315" s="137"/>
      <c r="D315" s="98"/>
      <c r="E315" s="98"/>
      <c r="F315" s="98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</row>
    <row r="316" spans="1:52" ht="15.75" customHeight="1">
      <c r="A316" s="9"/>
      <c r="B316" s="9"/>
      <c r="C316" s="137"/>
      <c r="D316" s="98"/>
      <c r="E316" s="98"/>
      <c r="F316" s="98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</row>
    <row r="317" spans="1:52" ht="15.75" customHeight="1">
      <c r="A317" s="9"/>
      <c r="B317" s="9"/>
      <c r="C317" s="137"/>
      <c r="D317" s="98"/>
      <c r="E317" s="98"/>
      <c r="F317" s="98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</row>
    <row r="318" spans="1:52" ht="15.75" customHeight="1">
      <c r="A318" s="9"/>
      <c r="B318" s="9"/>
      <c r="C318" s="137"/>
      <c r="D318" s="98"/>
      <c r="E318" s="98"/>
      <c r="F318" s="98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</row>
    <row r="319" spans="1:52" ht="15.75" customHeight="1">
      <c r="A319" s="9"/>
      <c r="B319" s="9"/>
      <c r="C319" s="137"/>
      <c r="D319" s="98"/>
      <c r="E319" s="98"/>
      <c r="F319" s="98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</row>
    <row r="320" spans="1:52" ht="15.75" customHeight="1">
      <c r="A320" s="9"/>
      <c r="B320" s="9"/>
      <c r="C320" s="137"/>
      <c r="D320" s="98"/>
      <c r="E320" s="98"/>
      <c r="F320" s="98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</row>
    <row r="321" spans="1:52" ht="15.75" customHeight="1">
      <c r="A321" s="9"/>
      <c r="B321" s="9"/>
      <c r="C321" s="137"/>
      <c r="D321" s="98"/>
      <c r="E321" s="98"/>
      <c r="F321" s="98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</row>
    <row r="322" spans="1:52" ht="15.75" customHeight="1">
      <c r="A322" s="9"/>
      <c r="B322" s="9"/>
      <c r="C322" s="137"/>
      <c r="D322" s="98"/>
      <c r="E322" s="98"/>
      <c r="F322" s="98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</row>
    <row r="323" spans="1:52" ht="15.75" customHeight="1">
      <c r="A323" s="9"/>
      <c r="B323" s="9"/>
      <c r="C323" s="137"/>
      <c r="D323" s="98"/>
      <c r="E323" s="98"/>
      <c r="F323" s="98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</row>
    <row r="324" spans="1:52" ht="15.75" customHeight="1">
      <c r="A324" s="9"/>
      <c r="B324" s="9"/>
      <c r="C324" s="137"/>
      <c r="D324" s="98"/>
      <c r="E324" s="98"/>
      <c r="F324" s="98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</row>
    <row r="325" spans="1:52" ht="15.75" customHeight="1">
      <c r="A325" s="9"/>
      <c r="B325" s="9"/>
      <c r="C325" s="137"/>
      <c r="D325" s="98"/>
      <c r="E325" s="98"/>
      <c r="F325" s="98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</row>
    <row r="326" spans="1:52" ht="15.75" customHeight="1">
      <c r="A326" s="9"/>
      <c r="B326" s="9"/>
      <c r="C326" s="137"/>
      <c r="D326" s="98"/>
      <c r="E326" s="98"/>
      <c r="F326" s="98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</row>
    <row r="327" spans="1:52" ht="15.75" customHeight="1">
      <c r="A327" s="9"/>
      <c r="B327" s="9"/>
      <c r="C327" s="137"/>
      <c r="D327" s="98"/>
      <c r="E327" s="98"/>
      <c r="F327" s="98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</row>
    <row r="328" spans="1:52" ht="15.75" customHeight="1">
      <c r="A328" s="9"/>
      <c r="B328" s="9"/>
      <c r="C328" s="137"/>
      <c r="D328" s="98"/>
      <c r="E328" s="98"/>
      <c r="F328" s="98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</row>
    <row r="329" spans="1:52" ht="15.75" customHeight="1">
      <c r="A329" s="9"/>
      <c r="B329" s="9"/>
      <c r="C329" s="137"/>
      <c r="D329" s="98"/>
      <c r="E329" s="98"/>
      <c r="F329" s="98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</row>
    <row r="330" spans="1:52" ht="15.75" customHeight="1">
      <c r="A330" s="9"/>
      <c r="B330" s="9"/>
      <c r="C330" s="137"/>
      <c r="D330" s="98"/>
      <c r="E330" s="98"/>
      <c r="F330" s="98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</row>
    <row r="331" spans="1:52" ht="15.75" customHeight="1">
      <c r="A331" s="9"/>
      <c r="B331" s="9"/>
      <c r="C331" s="137"/>
      <c r="D331" s="98"/>
      <c r="E331" s="98"/>
      <c r="F331" s="98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</row>
    <row r="332" spans="1:52" ht="15.75" customHeight="1">
      <c r="A332" s="9"/>
      <c r="B332" s="9"/>
      <c r="C332" s="137"/>
      <c r="D332" s="98"/>
      <c r="E332" s="98"/>
      <c r="F332" s="98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</row>
    <row r="333" spans="1:52" ht="15.75" customHeight="1">
      <c r="A333" s="9"/>
      <c r="B333" s="9"/>
      <c r="C333" s="137"/>
      <c r="D333" s="98"/>
      <c r="E333" s="98"/>
      <c r="F333" s="98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</row>
    <row r="334" spans="1:52" ht="15.75" customHeight="1">
      <c r="A334" s="9"/>
      <c r="B334" s="9"/>
      <c r="C334" s="137"/>
      <c r="D334" s="98"/>
      <c r="E334" s="98"/>
      <c r="F334" s="98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</row>
    <row r="335" spans="1:52" ht="15.75" customHeight="1">
      <c r="A335" s="9"/>
      <c r="B335" s="9"/>
      <c r="C335" s="137"/>
      <c r="D335" s="98"/>
      <c r="E335" s="98"/>
      <c r="F335" s="98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</row>
    <row r="336" spans="1:52" ht="15.75" customHeight="1">
      <c r="A336" s="9"/>
      <c r="B336" s="9"/>
      <c r="C336" s="137"/>
      <c r="D336" s="98"/>
      <c r="E336" s="98"/>
      <c r="F336" s="98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</row>
    <row r="337" spans="1:52" ht="15.75" customHeight="1">
      <c r="A337" s="9"/>
      <c r="B337" s="9"/>
      <c r="C337" s="137"/>
      <c r="D337" s="98"/>
      <c r="E337" s="98"/>
      <c r="F337" s="98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</row>
    <row r="338" spans="1:52" ht="15.75" customHeight="1">
      <c r="A338" s="9"/>
      <c r="B338" s="9"/>
      <c r="C338" s="137"/>
      <c r="D338" s="98"/>
      <c r="E338" s="98"/>
      <c r="F338" s="98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</row>
    <row r="339" spans="1:52" ht="15.75" customHeight="1">
      <c r="A339" s="9"/>
      <c r="B339" s="9"/>
      <c r="C339" s="137"/>
      <c r="D339" s="98"/>
      <c r="E339" s="98"/>
      <c r="F339" s="98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</row>
    <row r="340" spans="1:52" ht="15.75" customHeight="1">
      <c r="A340" s="9"/>
      <c r="B340" s="9"/>
      <c r="C340" s="137"/>
      <c r="D340" s="98"/>
      <c r="E340" s="98"/>
      <c r="F340" s="98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</row>
    <row r="341" spans="1:52" ht="15.75" customHeight="1">
      <c r="A341" s="9"/>
      <c r="B341" s="9"/>
      <c r="C341" s="137"/>
      <c r="D341" s="98"/>
      <c r="E341" s="98"/>
      <c r="F341" s="98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</row>
    <row r="342" spans="1:52" ht="15.75" customHeight="1">
      <c r="A342" s="9"/>
      <c r="B342" s="9"/>
      <c r="C342" s="137"/>
      <c r="D342" s="98"/>
      <c r="E342" s="98"/>
      <c r="F342" s="98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</row>
    <row r="343" spans="1:52" ht="15.75" customHeight="1">
      <c r="A343" s="9"/>
      <c r="B343" s="9"/>
      <c r="C343" s="137"/>
      <c r="D343" s="98"/>
      <c r="E343" s="98"/>
      <c r="F343" s="98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</row>
    <row r="344" spans="1:52" ht="15.75" customHeight="1">
      <c r="A344" s="9"/>
      <c r="B344" s="9"/>
      <c r="C344" s="137"/>
      <c r="D344" s="98"/>
      <c r="E344" s="98"/>
      <c r="F344" s="98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</row>
    <row r="345" spans="1:52" ht="15.75" customHeight="1">
      <c r="A345" s="9"/>
      <c r="B345" s="9"/>
      <c r="C345" s="137"/>
      <c r="D345" s="98"/>
      <c r="E345" s="98"/>
      <c r="F345" s="98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</row>
    <row r="346" spans="1:52" ht="15.75" customHeight="1">
      <c r="A346" s="9"/>
      <c r="B346" s="9"/>
      <c r="C346" s="137"/>
      <c r="D346" s="98"/>
      <c r="E346" s="98"/>
      <c r="F346" s="98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</row>
    <row r="347" spans="1:52" ht="15.75" customHeight="1">
      <c r="A347" s="9"/>
      <c r="B347" s="9"/>
      <c r="C347" s="137"/>
      <c r="D347" s="98"/>
      <c r="E347" s="98"/>
      <c r="F347" s="98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</row>
    <row r="348" spans="1:52" ht="15.75" customHeight="1">
      <c r="A348" s="9"/>
      <c r="B348" s="9"/>
      <c r="C348" s="137"/>
      <c r="D348" s="98"/>
      <c r="E348" s="98"/>
      <c r="F348" s="98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</row>
    <row r="349" spans="1:52" ht="15.75" customHeight="1">
      <c r="A349" s="9"/>
      <c r="B349" s="9"/>
      <c r="C349" s="137"/>
      <c r="D349" s="98"/>
      <c r="E349" s="98"/>
      <c r="F349" s="98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</row>
    <row r="350" spans="1:52" ht="15.75" customHeight="1">
      <c r="A350" s="9"/>
      <c r="B350" s="9"/>
      <c r="C350" s="137"/>
      <c r="D350" s="98"/>
      <c r="E350" s="98"/>
      <c r="F350" s="98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</row>
    <row r="351" spans="1:52" ht="15.75" customHeight="1">
      <c r="A351" s="9"/>
      <c r="B351" s="9"/>
      <c r="C351" s="137"/>
      <c r="D351" s="98"/>
      <c r="E351" s="98"/>
      <c r="F351" s="98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</row>
    <row r="352" spans="1:52" ht="15.75" customHeight="1">
      <c r="A352" s="9"/>
      <c r="B352" s="9"/>
      <c r="C352" s="137"/>
      <c r="D352" s="98"/>
      <c r="E352" s="98"/>
      <c r="F352" s="98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</row>
    <row r="353" spans="1:52" ht="15.75" customHeight="1">
      <c r="A353" s="9"/>
      <c r="B353" s="9"/>
      <c r="C353" s="137"/>
      <c r="D353" s="98"/>
      <c r="E353" s="98"/>
      <c r="F353" s="98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</row>
    <row r="354" spans="1:52" ht="15.75" customHeight="1">
      <c r="A354" s="9"/>
      <c r="B354" s="9"/>
      <c r="C354" s="137"/>
      <c r="D354" s="98"/>
      <c r="E354" s="98"/>
      <c r="F354" s="98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</row>
    <row r="355" spans="1:52" ht="15.75" customHeight="1">
      <c r="A355" s="9"/>
      <c r="B355" s="9"/>
      <c r="C355" s="137"/>
      <c r="D355" s="98"/>
      <c r="E355" s="98"/>
      <c r="F355" s="98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</row>
    <row r="356" spans="1:52" ht="15.75" customHeight="1">
      <c r="A356" s="9"/>
      <c r="B356" s="9"/>
      <c r="C356" s="137"/>
      <c r="D356" s="98"/>
      <c r="E356" s="98"/>
      <c r="F356" s="98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</row>
    <row r="357" spans="1:52" ht="15.75" customHeight="1">
      <c r="A357" s="9"/>
      <c r="B357" s="9"/>
      <c r="C357" s="137"/>
      <c r="D357" s="98"/>
      <c r="E357" s="98"/>
      <c r="F357" s="98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</row>
    <row r="358" spans="1:52" ht="15.75" customHeight="1">
      <c r="A358" s="9"/>
      <c r="B358" s="9"/>
      <c r="C358" s="137"/>
      <c r="D358" s="98"/>
      <c r="E358" s="98"/>
      <c r="F358" s="98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</row>
    <row r="359" spans="1:52" ht="15.75" customHeight="1">
      <c r="A359" s="9"/>
      <c r="B359" s="9"/>
      <c r="C359" s="137"/>
      <c r="D359" s="98"/>
      <c r="E359" s="98"/>
      <c r="F359" s="98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</row>
    <row r="360" spans="1:52" ht="15.75" customHeight="1">
      <c r="A360" s="9"/>
      <c r="B360" s="9"/>
      <c r="C360" s="137"/>
      <c r="D360" s="98"/>
      <c r="E360" s="98"/>
      <c r="F360" s="98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</row>
    <row r="361" spans="1:52" ht="15.75" customHeight="1">
      <c r="A361" s="9"/>
      <c r="B361" s="9"/>
      <c r="C361" s="137"/>
      <c r="D361" s="98"/>
      <c r="E361" s="98"/>
      <c r="F361" s="98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</row>
    <row r="362" spans="1:52" ht="15.75" customHeight="1">
      <c r="A362" s="9"/>
      <c r="B362" s="9"/>
      <c r="C362" s="137"/>
      <c r="D362" s="98"/>
      <c r="E362" s="98"/>
      <c r="F362" s="98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</row>
    <row r="363" spans="1:52" ht="15.75" customHeight="1">
      <c r="A363" s="9"/>
      <c r="B363" s="9"/>
      <c r="C363" s="137"/>
      <c r="D363" s="98"/>
      <c r="E363" s="98"/>
      <c r="F363" s="98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</row>
    <row r="364" spans="1:52" ht="15.75" customHeight="1">
      <c r="A364" s="9"/>
      <c r="B364" s="9"/>
      <c r="C364" s="137"/>
      <c r="D364" s="98"/>
      <c r="E364" s="98"/>
      <c r="F364" s="98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</row>
    <row r="365" spans="1:52" ht="15.75" customHeight="1">
      <c r="A365" s="9"/>
      <c r="B365" s="9"/>
      <c r="C365" s="137"/>
      <c r="D365" s="98"/>
      <c r="E365" s="98"/>
      <c r="F365" s="98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</row>
    <row r="366" spans="1:52" ht="15.75" customHeight="1">
      <c r="A366" s="9"/>
      <c r="B366" s="9"/>
      <c r="C366" s="137"/>
      <c r="D366" s="98"/>
      <c r="E366" s="98"/>
      <c r="F366" s="98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</row>
    <row r="367" spans="1:52" ht="15.75" customHeight="1">
      <c r="A367" s="9"/>
      <c r="B367" s="9"/>
      <c r="C367" s="137"/>
      <c r="D367" s="98"/>
      <c r="E367" s="98"/>
      <c r="F367" s="98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</row>
    <row r="368" spans="1:52" ht="15.75" customHeight="1">
      <c r="A368" s="9"/>
      <c r="B368" s="9"/>
      <c r="C368" s="137"/>
      <c r="D368" s="98"/>
      <c r="E368" s="98"/>
      <c r="F368" s="98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</row>
    <row r="369" spans="1:52" ht="15.75" customHeight="1">
      <c r="A369" s="9"/>
      <c r="B369" s="9"/>
      <c r="C369" s="137"/>
      <c r="D369" s="98"/>
      <c r="E369" s="98"/>
      <c r="F369" s="98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</row>
    <row r="370" spans="1:52" ht="15.75" customHeight="1">
      <c r="A370" s="9"/>
      <c r="B370" s="9"/>
      <c r="C370" s="137"/>
      <c r="D370" s="98"/>
      <c r="E370" s="98"/>
      <c r="F370" s="98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</row>
    <row r="371" spans="1:52" ht="15.75" customHeight="1">
      <c r="A371" s="9"/>
      <c r="B371" s="9"/>
      <c r="C371" s="137"/>
      <c r="D371" s="98"/>
      <c r="E371" s="98"/>
      <c r="F371" s="98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</row>
    <row r="372" spans="1:52" ht="15.75" customHeight="1">
      <c r="A372" s="9"/>
      <c r="B372" s="9"/>
      <c r="C372" s="137"/>
      <c r="D372" s="98"/>
      <c r="E372" s="98"/>
      <c r="F372" s="98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</row>
    <row r="373" spans="1:52" ht="15.75" customHeight="1">
      <c r="A373" s="9"/>
      <c r="B373" s="9"/>
      <c r="C373" s="137"/>
      <c r="D373" s="98"/>
      <c r="E373" s="98"/>
      <c r="F373" s="98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</row>
    <row r="374" spans="1:52" ht="15.75" customHeight="1">
      <c r="A374" s="9"/>
      <c r="B374" s="9"/>
      <c r="C374" s="137"/>
      <c r="D374" s="98"/>
      <c r="E374" s="98"/>
      <c r="F374" s="98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</row>
    <row r="375" spans="1:52" ht="15.75" customHeight="1">
      <c r="A375" s="9"/>
      <c r="B375" s="9"/>
      <c r="C375" s="137"/>
      <c r="D375" s="98"/>
      <c r="E375" s="98"/>
      <c r="F375" s="98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</row>
    <row r="376" spans="1:52" ht="15.75" customHeight="1">
      <c r="A376" s="9"/>
      <c r="B376" s="9"/>
      <c r="C376" s="137"/>
      <c r="D376" s="98"/>
      <c r="E376" s="98"/>
      <c r="F376" s="98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</row>
    <row r="377" spans="1:52" ht="15.75" customHeight="1">
      <c r="A377" s="9"/>
      <c r="B377" s="9"/>
      <c r="C377" s="137"/>
      <c r="D377" s="98"/>
      <c r="E377" s="98"/>
      <c r="F377" s="98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</row>
    <row r="378" spans="1:52" ht="15.75" customHeight="1">
      <c r="A378" s="9"/>
      <c r="B378" s="9"/>
      <c r="C378" s="137"/>
      <c r="D378" s="98"/>
      <c r="E378" s="98"/>
      <c r="F378" s="98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</row>
    <row r="379" spans="1:52" ht="15.75" customHeight="1">
      <c r="A379" s="9"/>
      <c r="B379" s="9"/>
      <c r="C379" s="137"/>
      <c r="D379" s="98"/>
      <c r="E379" s="98"/>
      <c r="F379" s="98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</row>
    <row r="380" spans="1:52" ht="15.75" customHeight="1">
      <c r="A380" s="9"/>
      <c r="B380" s="9"/>
      <c r="C380" s="137"/>
      <c r="D380" s="98"/>
      <c r="E380" s="98"/>
      <c r="F380" s="98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</row>
    <row r="381" spans="1:52" ht="15.75" customHeight="1">
      <c r="A381" s="9"/>
      <c r="B381" s="9"/>
      <c r="C381" s="137"/>
      <c r="D381" s="98"/>
      <c r="E381" s="98"/>
      <c r="F381" s="98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</row>
    <row r="382" spans="1:52" ht="15.75" customHeight="1">
      <c r="A382" s="9"/>
      <c r="B382" s="9"/>
      <c r="C382" s="137"/>
      <c r="D382" s="98"/>
      <c r="E382" s="98"/>
      <c r="F382" s="98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</row>
    <row r="383" spans="1:52" ht="15.75" customHeight="1">
      <c r="A383" s="9"/>
      <c r="B383" s="9"/>
      <c r="C383" s="137"/>
      <c r="D383" s="98"/>
      <c r="E383" s="98"/>
      <c r="F383" s="98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</row>
    <row r="384" spans="1:52" ht="15.75" customHeight="1">
      <c r="A384" s="9"/>
      <c r="B384" s="9"/>
      <c r="C384" s="137"/>
      <c r="D384" s="98"/>
      <c r="E384" s="98"/>
      <c r="F384" s="98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</row>
    <row r="385" spans="1:52" ht="15.75" customHeight="1">
      <c r="A385" s="9"/>
      <c r="B385" s="9"/>
      <c r="C385" s="137"/>
      <c r="D385" s="98"/>
      <c r="E385" s="98"/>
      <c r="F385" s="98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</row>
    <row r="386" spans="1:52" ht="15.75" customHeight="1">
      <c r="A386" s="9"/>
      <c r="B386" s="9"/>
      <c r="C386" s="137"/>
      <c r="D386" s="98"/>
      <c r="E386" s="98"/>
      <c r="F386" s="98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</row>
    <row r="387" spans="1:52" ht="15.75" customHeight="1">
      <c r="A387" s="9"/>
      <c r="B387" s="9"/>
      <c r="C387" s="137"/>
      <c r="D387" s="98"/>
      <c r="E387" s="98"/>
      <c r="F387" s="98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</row>
    <row r="388" spans="1:52" ht="15.75" customHeight="1">
      <c r="A388" s="9"/>
      <c r="B388" s="9"/>
      <c r="C388" s="137"/>
      <c r="D388" s="98"/>
      <c r="E388" s="98"/>
      <c r="F388" s="98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</row>
    <row r="389" spans="1:52" ht="15.75" customHeight="1">
      <c r="A389" s="9"/>
      <c r="B389" s="9"/>
      <c r="C389" s="137"/>
      <c r="D389" s="98"/>
      <c r="E389" s="98"/>
      <c r="F389" s="98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</row>
    <row r="390" spans="1:52" ht="15.75" customHeight="1">
      <c r="A390" s="9"/>
      <c r="B390" s="9"/>
      <c r="C390" s="137"/>
      <c r="D390" s="98"/>
      <c r="E390" s="98"/>
      <c r="F390" s="98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</row>
    <row r="391" spans="1:52" ht="15.75" customHeight="1">
      <c r="A391" s="9"/>
      <c r="B391" s="9"/>
      <c r="C391" s="137"/>
      <c r="D391" s="98"/>
      <c r="E391" s="98"/>
      <c r="F391" s="98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</row>
    <row r="392" spans="1:52" ht="15.75" customHeight="1">
      <c r="A392" s="9"/>
      <c r="B392" s="9"/>
      <c r="C392" s="137"/>
      <c r="D392" s="98"/>
      <c r="E392" s="98"/>
      <c r="F392" s="98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</row>
    <row r="393" spans="1:52" ht="15.75" customHeight="1">
      <c r="A393" s="9"/>
      <c r="B393" s="9"/>
      <c r="C393" s="137"/>
      <c r="D393" s="98"/>
      <c r="E393" s="98"/>
      <c r="F393" s="98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</row>
    <row r="394" spans="1:52" ht="15.75" customHeight="1">
      <c r="A394" s="9"/>
      <c r="B394" s="9"/>
      <c r="C394" s="137"/>
      <c r="D394" s="98"/>
      <c r="E394" s="98"/>
      <c r="F394" s="98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</row>
    <row r="395" spans="1:52" ht="15.75" customHeight="1">
      <c r="A395" s="9"/>
      <c r="B395" s="9"/>
      <c r="C395" s="137"/>
      <c r="D395" s="98"/>
      <c r="E395" s="98"/>
      <c r="F395" s="98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</row>
    <row r="396" spans="1:52" ht="15.75" customHeight="1">
      <c r="A396" s="9"/>
      <c r="B396" s="9"/>
      <c r="C396" s="137"/>
      <c r="D396" s="98"/>
      <c r="E396" s="98"/>
      <c r="F396" s="98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</row>
    <row r="397" spans="1:52" ht="15.75" customHeight="1">
      <c r="A397" s="9"/>
      <c r="B397" s="9"/>
      <c r="C397" s="137"/>
      <c r="D397" s="98"/>
      <c r="E397" s="98"/>
      <c r="F397" s="98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</row>
    <row r="398" spans="1:52" ht="15.75" customHeight="1">
      <c r="A398" s="9"/>
      <c r="B398" s="9"/>
      <c r="C398" s="137"/>
      <c r="D398" s="98"/>
      <c r="E398" s="98"/>
      <c r="F398" s="98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</row>
    <row r="399" spans="1:52" ht="15.75" customHeight="1">
      <c r="A399" s="9"/>
      <c r="B399" s="9"/>
      <c r="C399" s="137"/>
      <c r="D399" s="98"/>
      <c r="E399" s="98"/>
      <c r="F399" s="98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</row>
    <row r="400" spans="1:52" ht="15.75" customHeight="1">
      <c r="A400" s="9"/>
      <c r="B400" s="9"/>
      <c r="C400" s="137"/>
      <c r="D400" s="98"/>
      <c r="E400" s="98"/>
      <c r="F400" s="98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</row>
    <row r="401" spans="1:52" ht="15.75" customHeight="1">
      <c r="A401" s="9"/>
      <c r="B401" s="9"/>
      <c r="C401" s="137"/>
      <c r="D401" s="98"/>
      <c r="E401" s="98"/>
      <c r="F401" s="98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</row>
    <row r="402" spans="1:52" ht="15.75" customHeight="1">
      <c r="A402" s="9"/>
      <c r="B402" s="9"/>
      <c r="C402" s="137"/>
      <c r="D402" s="98"/>
      <c r="E402" s="98"/>
      <c r="F402" s="98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</row>
    <row r="403" spans="1:52" ht="15.75" customHeight="1">
      <c r="A403" s="9"/>
      <c r="B403" s="9"/>
      <c r="C403" s="137"/>
      <c r="D403" s="98"/>
      <c r="E403" s="98"/>
      <c r="F403" s="98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</row>
    <row r="404" spans="1:52" ht="15.75" customHeight="1">
      <c r="A404" s="9"/>
      <c r="B404" s="9"/>
      <c r="C404" s="137"/>
      <c r="D404" s="98"/>
      <c r="E404" s="98"/>
      <c r="F404" s="98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</row>
    <row r="405" spans="1:52" ht="15.75" customHeight="1">
      <c r="A405" s="9"/>
      <c r="B405" s="9"/>
      <c r="C405" s="137"/>
      <c r="D405" s="98"/>
      <c r="E405" s="98"/>
      <c r="F405" s="98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</row>
    <row r="406" spans="1:52" ht="15.75" customHeight="1">
      <c r="A406" s="9"/>
      <c r="B406" s="9"/>
      <c r="C406" s="137"/>
      <c r="D406" s="98"/>
      <c r="E406" s="98"/>
      <c r="F406" s="98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</row>
    <row r="407" spans="1:52" ht="15.75" customHeight="1">
      <c r="A407" s="9"/>
      <c r="B407" s="9"/>
      <c r="C407" s="137"/>
      <c r="D407" s="98"/>
      <c r="E407" s="98"/>
      <c r="F407" s="98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</row>
    <row r="408" spans="1:52" ht="15.75" customHeight="1">
      <c r="A408" s="9"/>
      <c r="B408" s="9"/>
      <c r="C408" s="137"/>
      <c r="D408" s="98"/>
      <c r="E408" s="98"/>
      <c r="F408" s="98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</row>
    <row r="409" spans="1:52" ht="15.75" customHeight="1">
      <c r="A409" s="9"/>
      <c r="B409" s="9"/>
      <c r="C409" s="137"/>
      <c r="D409" s="98"/>
      <c r="E409" s="98"/>
      <c r="F409" s="98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</row>
    <row r="410" spans="1:52" ht="15.75" customHeight="1">
      <c r="A410" s="9"/>
      <c r="B410" s="9"/>
      <c r="C410" s="137"/>
      <c r="D410" s="98"/>
      <c r="E410" s="98"/>
      <c r="F410" s="98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</row>
    <row r="411" spans="1:52" ht="15.75" customHeight="1">
      <c r="A411" s="9"/>
      <c r="B411" s="9"/>
      <c r="C411" s="137"/>
      <c r="D411" s="98"/>
      <c r="E411" s="98"/>
      <c r="F411" s="98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</row>
    <row r="412" spans="1:52" ht="15.75" customHeight="1">
      <c r="A412" s="9"/>
      <c r="B412" s="9"/>
      <c r="C412" s="137"/>
      <c r="D412" s="98"/>
      <c r="E412" s="98"/>
      <c r="F412" s="98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</row>
    <row r="413" spans="1:52" ht="15.75" customHeight="1">
      <c r="A413" s="9"/>
      <c r="B413" s="9"/>
      <c r="C413" s="137"/>
      <c r="D413" s="98"/>
      <c r="E413" s="98"/>
      <c r="F413" s="98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</row>
    <row r="414" spans="1:52" ht="15.75" customHeight="1">
      <c r="A414" s="9"/>
      <c r="B414" s="9"/>
      <c r="C414" s="137"/>
      <c r="D414" s="98"/>
      <c r="E414" s="98"/>
      <c r="F414" s="98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</row>
    <row r="415" spans="1:52" ht="15.75" customHeight="1">
      <c r="A415" s="9"/>
      <c r="B415" s="9"/>
      <c r="C415" s="137"/>
      <c r="D415" s="98"/>
      <c r="E415" s="98"/>
      <c r="F415" s="98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</row>
    <row r="416" spans="1:52" ht="15.75" customHeight="1">
      <c r="A416" s="9"/>
      <c r="B416" s="9"/>
      <c r="C416" s="137"/>
      <c r="D416" s="98"/>
      <c r="E416" s="98"/>
      <c r="F416" s="98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</row>
    <row r="417" spans="1:52" ht="15.75" customHeight="1">
      <c r="A417" s="9"/>
      <c r="B417" s="9"/>
      <c r="C417" s="137"/>
      <c r="D417" s="98"/>
      <c r="E417" s="98"/>
      <c r="F417" s="98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</row>
    <row r="418" spans="1:52" ht="15.75" customHeight="1">
      <c r="A418" s="9"/>
      <c r="B418" s="9"/>
      <c r="C418" s="137"/>
      <c r="D418" s="98"/>
      <c r="E418" s="98"/>
      <c r="F418" s="98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</row>
    <row r="419" spans="1:52" ht="15.75" customHeight="1">
      <c r="A419" s="9"/>
      <c r="B419" s="9"/>
      <c r="C419" s="137"/>
      <c r="D419" s="98"/>
      <c r="E419" s="98"/>
      <c r="F419" s="98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</row>
    <row r="420" spans="1:52" ht="15.75" customHeight="1">
      <c r="A420" s="9"/>
      <c r="B420" s="9"/>
      <c r="C420" s="137"/>
      <c r="D420" s="98"/>
      <c r="E420" s="98"/>
      <c r="F420" s="98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</row>
    <row r="421" spans="1:52" ht="15.75" customHeight="1">
      <c r="A421" s="9"/>
      <c r="B421" s="9"/>
      <c r="C421" s="137"/>
      <c r="D421" s="98"/>
      <c r="E421" s="98"/>
      <c r="F421" s="98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</row>
    <row r="422" spans="1:52" ht="15.75" customHeight="1">
      <c r="A422" s="9"/>
      <c r="B422" s="9"/>
      <c r="C422" s="137"/>
      <c r="D422" s="98"/>
      <c r="E422" s="98"/>
      <c r="F422" s="98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</row>
    <row r="423" spans="1:52" ht="15.75" customHeight="1">
      <c r="A423" s="9"/>
      <c r="B423" s="9"/>
      <c r="C423" s="137"/>
      <c r="D423" s="98"/>
      <c r="E423" s="98"/>
      <c r="F423" s="98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</row>
    <row r="424" spans="1:52" ht="15.75" customHeight="1">
      <c r="A424" s="9"/>
      <c r="B424" s="9"/>
      <c r="C424" s="137"/>
      <c r="D424" s="98"/>
      <c r="E424" s="98"/>
      <c r="F424" s="98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</row>
    <row r="425" spans="1:52" ht="15.75" customHeight="1">
      <c r="A425" s="9"/>
      <c r="B425" s="9"/>
      <c r="C425" s="137"/>
      <c r="D425" s="98"/>
      <c r="E425" s="98"/>
      <c r="F425" s="98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</row>
    <row r="426" spans="1:52" ht="15.75" customHeight="1">
      <c r="A426" s="9"/>
      <c r="B426" s="9"/>
      <c r="C426" s="137"/>
      <c r="D426" s="98"/>
      <c r="E426" s="98"/>
      <c r="F426" s="98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</row>
    <row r="427" spans="1:52" ht="15.75" customHeight="1">
      <c r="A427" s="9"/>
      <c r="B427" s="9"/>
      <c r="C427" s="137"/>
      <c r="D427" s="98"/>
      <c r="E427" s="98"/>
      <c r="F427" s="98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</row>
    <row r="428" spans="1:52" ht="15.75" customHeight="1">
      <c r="A428" s="9"/>
      <c r="B428" s="9"/>
      <c r="C428" s="137"/>
      <c r="D428" s="98"/>
      <c r="E428" s="98"/>
      <c r="F428" s="98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</row>
    <row r="429" spans="1:52" ht="15.75" customHeight="1">
      <c r="A429" s="9"/>
      <c r="B429" s="9"/>
      <c r="C429" s="137"/>
      <c r="D429" s="98"/>
      <c r="E429" s="98"/>
      <c r="F429" s="98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</row>
    <row r="430" spans="1:52" ht="15.75" customHeight="1">
      <c r="A430" s="9"/>
      <c r="B430" s="9"/>
      <c r="C430" s="137"/>
      <c r="D430" s="98"/>
      <c r="E430" s="98"/>
      <c r="F430" s="98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</row>
    <row r="431" spans="1:52" ht="15.75" customHeight="1">
      <c r="A431" s="9"/>
      <c r="B431" s="9"/>
      <c r="C431" s="137"/>
      <c r="D431" s="98"/>
      <c r="E431" s="98"/>
      <c r="F431" s="98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</row>
    <row r="432" spans="1:52" ht="15.75" customHeight="1">
      <c r="A432" s="9"/>
      <c r="B432" s="9"/>
      <c r="C432" s="137"/>
      <c r="D432" s="98"/>
      <c r="E432" s="98"/>
      <c r="F432" s="98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</row>
    <row r="433" spans="1:52" ht="15.75" customHeight="1">
      <c r="A433" s="9"/>
      <c r="B433" s="9"/>
      <c r="C433" s="137"/>
      <c r="D433" s="98"/>
      <c r="E433" s="98"/>
      <c r="F433" s="98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</row>
    <row r="434" spans="1:52" ht="15.75" customHeight="1">
      <c r="A434" s="9"/>
      <c r="B434" s="9"/>
      <c r="C434" s="137"/>
      <c r="D434" s="98"/>
      <c r="E434" s="98"/>
      <c r="F434" s="98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</row>
    <row r="435" spans="1:52" ht="15.75" customHeight="1">
      <c r="A435" s="9"/>
      <c r="B435" s="9"/>
      <c r="C435" s="137"/>
      <c r="D435" s="98"/>
      <c r="E435" s="98"/>
      <c r="F435" s="98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</row>
    <row r="436" spans="1:52" ht="15.75" customHeight="1">
      <c r="A436" s="9"/>
      <c r="B436" s="9"/>
      <c r="C436" s="137"/>
      <c r="D436" s="98"/>
      <c r="E436" s="98"/>
      <c r="F436" s="98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</row>
    <row r="437" spans="1:52" ht="15.75" customHeight="1">
      <c r="A437" s="9"/>
      <c r="B437" s="9"/>
      <c r="C437" s="137"/>
      <c r="D437" s="98"/>
      <c r="E437" s="98"/>
      <c r="F437" s="98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</row>
    <row r="438" spans="1:52" ht="15.75" customHeight="1">
      <c r="A438" s="9"/>
      <c r="B438" s="9"/>
      <c r="C438" s="137"/>
      <c r="D438" s="98"/>
      <c r="E438" s="98"/>
      <c r="F438" s="98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</row>
    <row r="439" spans="1:52" ht="15.75" customHeight="1">
      <c r="A439" s="9"/>
      <c r="B439" s="9"/>
      <c r="C439" s="137"/>
      <c r="D439" s="98"/>
      <c r="E439" s="98"/>
      <c r="F439" s="98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</row>
    <row r="440" spans="1:52" ht="15.75" customHeight="1">
      <c r="A440" s="9"/>
      <c r="B440" s="9"/>
      <c r="C440" s="137"/>
      <c r="D440" s="98"/>
      <c r="E440" s="98"/>
      <c r="F440" s="98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</row>
    <row r="441" spans="1:52" ht="15.75" customHeight="1">
      <c r="A441" s="9"/>
      <c r="B441" s="9"/>
      <c r="C441" s="137"/>
      <c r="D441" s="98"/>
      <c r="E441" s="98"/>
      <c r="F441" s="98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</row>
    <row r="442" spans="1:52" ht="15.75" customHeight="1">
      <c r="A442" s="9"/>
      <c r="B442" s="9"/>
      <c r="C442" s="137"/>
      <c r="D442" s="98"/>
      <c r="E442" s="98"/>
      <c r="F442" s="98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</row>
    <row r="443" spans="1:52" ht="15.75" customHeight="1">
      <c r="A443" s="9"/>
      <c r="B443" s="9"/>
      <c r="C443" s="137"/>
      <c r="D443" s="98"/>
      <c r="E443" s="98"/>
      <c r="F443" s="98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</row>
    <row r="444" spans="1:52" ht="15.75" customHeight="1">
      <c r="A444" s="9"/>
      <c r="B444" s="9"/>
      <c r="C444" s="137"/>
      <c r="D444" s="98"/>
      <c r="E444" s="98"/>
      <c r="F444" s="98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</row>
    <row r="445" spans="1:52" ht="15.75" customHeight="1">
      <c r="A445" s="9"/>
      <c r="B445" s="9"/>
      <c r="C445" s="137"/>
      <c r="D445" s="98"/>
      <c r="E445" s="98"/>
      <c r="F445" s="98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</row>
    <row r="446" spans="1:52" ht="15.75" customHeight="1">
      <c r="A446" s="9"/>
      <c r="B446" s="9"/>
      <c r="C446" s="137"/>
      <c r="D446" s="98"/>
      <c r="E446" s="98"/>
      <c r="F446" s="98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</row>
    <row r="447" spans="1:52" ht="15.75" customHeight="1">
      <c r="A447" s="9"/>
      <c r="B447" s="9"/>
      <c r="C447" s="137"/>
      <c r="D447" s="98"/>
      <c r="E447" s="98"/>
      <c r="F447" s="98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</row>
    <row r="448" spans="1:52" ht="15.75" customHeight="1">
      <c r="A448" s="9"/>
      <c r="B448" s="9"/>
      <c r="C448" s="137"/>
      <c r="D448" s="98"/>
      <c r="E448" s="98"/>
      <c r="F448" s="98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</row>
    <row r="449" spans="1:52" ht="15.75" customHeight="1">
      <c r="A449" s="9"/>
      <c r="B449" s="9"/>
      <c r="C449" s="137"/>
      <c r="D449" s="98"/>
      <c r="E449" s="98"/>
      <c r="F449" s="98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</row>
    <row r="450" spans="1:52" ht="15.75" customHeight="1">
      <c r="A450" s="9"/>
      <c r="B450" s="9"/>
      <c r="C450" s="137"/>
      <c r="D450" s="98"/>
      <c r="E450" s="98"/>
      <c r="F450" s="98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</row>
    <row r="451" spans="1:52" ht="15.75" customHeight="1">
      <c r="A451" s="9"/>
      <c r="B451" s="9"/>
      <c r="C451" s="137"/>
      <c r="D451" s="98"/>
      <c r="E451" s="98"/>
      <c r="F451" s="98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</row>
    <row r="452" spans="1:52" ht="15.75" customHeight="1">
      <c r="A452" s="9"/>
      <c r="B452" s="9"/>
      <c r="C452" s="137"/>
      <c r="D452" s="98"/>
      <c r="E452" s="98"/>
      <c r="F452" s="98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</row>
    <row r="453" spans="1:52" ht="15.75" customHeight="1">
      <c r="A453" s="9"/>
      <c r="B453" s="9"/>
      <c r="C453" s="137"/>
      <c r="D453" s="98"/>
      <c r="E453" s="98"/>
      <c r="F453" s="98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</row>
    <row r="454" spans="1:52" ht="15.75" customHeight="1">
      <c r="A454" s="9"/>
      <c r="B454" s="9"/>
      <c r="C454" s="137"/>
      <c r="D454" s="98"/>
      <c r="E454" s="98"/>
      <c r="F454" s="98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</row>
    <row r="455" spans="1:52" ht="15.75" customHeight="1">
      <c r="A455" s="9"/>
      <c r="B455" s="9"/>
      <c r="C455" s="137"/>
      <c r="D455" s="98"/>
      <c r="E455" s="98"/>
      <c r="F455" s="98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</row>
    <row r="456" spans="1:52" ht="15.75" customHeight="1">
      <c r="A456" s="9"/>
      <c r="B456" s="9"/>
      <c r="C456" s="137"/>
      <c r="D456" s="98"/>
      <c r="E456" s="98"/>
      <c r="F456" s="98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</row>
    <row r="457" spans="1:52" ht="15.75" customHeight="1">
      <c r="A457" s="9"/>
      <c r="B457" s="9"/>
      <c r="C457" s="137"/>
      <c r="D457" s="98"/>
      <c r="E457" s="98"/>
      <c r="F457" s="98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</row>
    <row r="458" spans="1:52" ht="15.75" customHeight="1">
      <c r="A458" s="9"/>
      <c r="B458" s="9"/>
      <c r="C458" s="137"/>
      <c r="D458" s="98"/>
      <c r="E458" s="98"/>
      <c r="F458" s="98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</row>
    <row r="459" spans="1:52" ht="15.75" customHeight="1">
      <c r="A459" s="9"/>
      <c r="B459" s="9"/>
      <c r="C459" s="137"/>
      <c r="D459" s="98"/>
      <c r="E459" s="98"/>
      <c r="F459" s="98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</row>
    <row r="460" spans="1:52" ht="15.75" customHeight="1">
      <c r="A460" s="9"/>
      <c r="B460" s="9"/>
      <c r="C460" s="137"/>
      <c r="D460" s="98"/>
      <c r="E460" s="98"/>
      <c r="F460" s="98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</row>
    <row r="461" spans="1:52" ht="15.75" customHeight="1">
      <c r="A461" s="9"/>
      <c r="B461" s="9"/>
      <c r="C461" s="137"/>
      <c r="D461" s="98"/>
      <c r="E461" s="98"/>
      <c r="F461" s="98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</row>
    <row r="462" spans="1:52" ht="15.75" customHeight="1">
      <c r="A462" s="9"/>
      <c r="B462" s="9"/>
      <c r="C462" s="137"/>
      <c r="D462" s="98"/>
      <c r="E462" s="98"/>
      <c r="F462" s="98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</row>
    <row r="463" spans="1:52" ht="15.75" customHeight="1">
      <c r="A463" s="9"/>
      <c r="B463" s="9"/>
      <c r="C463" s="137"/>
      <c r="D463" s="98"/>
      <c r="E463" s="98"/>
      <c r="F463" s="98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</row>
    <row r="464" spans="1:52" ht="15.75" customHeight="1">
      <c r="A464" s="9"/>
      <c r="B464" s="9"/>
      <c r="C464" s="137"/>
      <c r="D464" s="98"/>
      <c r="E464" s="98"/>
      <c r="F464" s="98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</row>
    <row r="465" spans="1:52" ht="15.75" customHeight="1">
      <c r="A465" s="9"/>
      <c r="B465" s="9"/>
      <c r="C465" s="137"/>
      <c r="D465" s="98"/>
      <c r="E465" s="98"/>
      <c r="F465" s="98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</row>
    <row r="466" spans="1:52" ht="15.75" customHeight="1">
      <c r="A466" s="9"/>
      <c r="B466" s="9"/>
      <c r="C466" s="137"/>
      <c r="D466" s="98"/>
      <c r="E466" s="98"/>
      <c r="F466" s="98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</row>
    <row r="467" spans="1:52" ht="15.75" customHeight="1">
      <c r="A467" s="9"/>
      <c r="B467" s="9"/>
      <c r="C467" s="137"/>
      <c r="D467" s="98"/>
      <c r="E467" s="98"/>
      <c r="F467" s="98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</row>
    <row r="468" spans="1:52" ht="15.75" customHeight="1">
      <c r="A468" s="9"/>
      <c r="B468" s="9"/>
      <c r="C468" s="137"/>
      <c r="D468" s="98"/>
      <c r="E468" s="98"/>
      <c r="F468" s="98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</row>
    <row r="469" spans="1:52" ht="15.75" customHeight="1">
      <c r="A469" s="9"/>
      <c r="B469" s="9"/>
      <c r="C469" s="137"/>
      <c r="D469" s="98"/>
      <c r="E469" s="98"/>
      <c r="F469" s="98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</row>
    <row r="470" spans="1:52" ht="15.75" customHeight="1">
      <c r="A470" s="9"/>
      <c r="B470" s="9"/>
      <c r="C470" s="137"/>
      <c r="D470" s="98"/>
      <c r="E470" s="98"/>
      <c r="F470" s="98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</row>
    <row r="471" spans="1:52" ht="15.75" customHeight="1">
      <c r="A471" s="9"/>
      <c r="B471" s="9"/>
      <c r="C471" s="137"/>
      <c r="D471" s="98"/>
      <c r="E471" s="98"/>
      <c r="F471" s="98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</row>
    <row r="472" spans="1:52" ht="15.75" customHeight="1">
      <c r="A472" s="9"/>
      <c r="B472" s="9"/>
      <c r="C472" s="137"/>
      <c r="D472" s="98"/>
      <c r="E472" s="98"/>
      <c r="F472" s="98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</row>
    <row r="473" spans="1:52" ht="15.75" customHeight="1">
      <c r="A473" s="9"/>
      <c r="B473" s="9"/>
      <c r="C473" s="137"/>
      <c r="D473" s="98"/>
      <c r="E473" s="98"/>
      <c r="F473" s="98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</row>
    <row r="474" spans="1:52" ht="15.75" customHeight="1">
      <c r="A474" s="9"/>
      <c r="B474" s="9"/>
      <c r="C474" s="137"/>
      <c r="D474" s="98"/>
      <c r="E474" s="98"/>
      <c r="F474" s="98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</row>
    <row r="475" spans="1:52" ht="15.75" customHeight="1">
      <c r="A475" s="9"/>
      <c r="B475" s="9"/>
      <c r="C475" s="137"/>
      <c r="D475" s="98"/>
      <c r="E475" s="98"/>
      <c r="F475" s="98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</row>
    <row r="476" spans="1:52" ht="15.75" customHeight="1">
      <c r="A476" s="9"/>
      <c r="B476" s="9"/>
      <c r="C476" s="137"/>
      <c r="D476" s="98"/>
      <c r="E476" s="98"/>
      <c r="F476" s="98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</row>
    <row r="477" spans="1:52" ht="15.75" customHeight="1">
      <c r="A477" s="9"/>
      <c r="B477" s="9"/>
      <c r="C477" s="137"/>
      <c r="D477" s="98"/>
      <c r="E477" s="98"/>
      <c r="F477" s="98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</row>
    <row r="478" spans="1:52" ht="15.75" customHeight="1">
      <c r="A478" s="9"/>
      <c r="B478" s="9"/>
      <c r="C478" s="137"/>
      <c r="D478" s="98"/>
      <c r="E478" s="98"/>
      <c r="F478" s="98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</row>
    <row r="479" spans="1:52" ht="15.75" customHeight="1">
      <c r="A479" s="9"/>
      <c r="B479" s="9"/>
      <c r="C479" s="137"/>
      <c r="D479" s="98"/>
      <c r="E479" s="98"/>
      <c r="F479" s="98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</row>
    <row r="480" spans="1:52" ht="15.75" customHeight="1">
      <c r="A480" s="9"/>
      <c r="B480" s="9"/>
      <c r="C480" s="137"/>
      <c r="D480" s="98"/>
      <c r="E480" s="98"/>
      <c r="F480" s="98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</row>
    <row r="481" spans="1:52" ht="15.75" customHeight="1">
      <c r="A481" s="9"/>
      <c r="B481" s="9"/>
      <c r="C481" s="137"/>
      <c r="D481" s="98"/>
      <c r="E481" s="98"/>
      <c r="F481" s="98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</row>
    <row r="482" spans="1:52" ht="15.75" customHeight="1">
      <c r="A482" s="9"/>
      <c r="B482" s="9"/>
      <c r="C482" s="137"/>
      <c r="D482" s="98"/>
      <c r="E482" s="98"/>
      <c r="F482" s="98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</row>
    <row r="483" spans="1:52" ht="15.75" customHeight="1">
      <c r="A483" s="9"/>
      <c r="B483" s="9"/>
      <c r="C483" s="137"/>
      <c r="D483" s="98"/>
      <c r="E483" s="98"/>
      <c r="F483" s="98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</row>
    <row r="484" spans="1:52" ht="15.75" customHeight="1">
      <c r="A484" s="9"/>
      <c r="B484" s="9"/>
      <c r="C484" s="137"/>
      <c r="D484" s="98"/>
      <c r="E484" s="98"/>
      <c r="F484" s="98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</row>
    <row r="485" spans="1:52" ht="15.75" customHeight="1">
      <c r="A485" s="9"/>
      <c r="B485" s="9"/>
      <c r="C485" s="137"/>
      <c r="D485" s="98"/>
      <c r="E485" s="98"/>
      <c r="F485" s="98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</row>
    <row r="486" spans="1:52" ht="15.75" customHeight="1">
      <c r="A486" s="9"/>
      <c r="B486" s="9"/>
      <c r="C486" s="137"/>
      <c r="D486" s="98"/>
      <c r="E486" s="98"/>
      <c r="F486" s="98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</row>
    <row r="487" spans="1:52" ht="15.75" customHeight="1">
      <c r="A487" s="9"/>
      <c r="B487" s="9"/>
      <c r="C487" s="137"/>
      <c r="D487" s="98"/>
      <c r="E487" s="98"/>
      <c r="F487" s="98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</row>
    <row r="488" spans="1:52" ht="15.75" customHeight="1">
      <c r="A488" s="9"/>
      <c r="B488" s="9"/>
      <c r="C488" s="137"/>
      <c r="D488" s="98"/>
      <c r="E488" s="98"/>
      <c r="F488" s="98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</row>
    <row r="489" spans="1:52" ht="15.75" customHeight="1">
      <c r="A489" s="9"/>
      <c r="B489" s="9"/>
      <c r="C489" s="137"/>
      <c r="D489" s="98"/>
      <c r="E489" s="98"/>
      <c r="F489" s="98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</row>
    <row r="490" spans="1:52" ht="15.75" customHeight="1">
      <c r="A490" s="9"/>
      <c r="B490" s="9"/>
      <c r="C490" s="137"/>
      <c r="D490" s="98"/>
      <c r="E490" s="98"/>
      <c r="F490" s="98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</row>
    <row r="491" spans="1:52" ht="15.75" customHeight="1">
      <c r="A491" s="9"/>
      <c r="B491" s="9"/>
      <c r="C491" s="137"/>
      <c r="D491" s="98"/>
      <c r="E491" s="98"/>
      <c r="F491" s="98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</row>
    <row r="492" spans="1:52" ht="15.75" customHeight="1">
      <c r="A492" s="9"/>
      <c r="B492" s="9"/>
      <c r="C492" s="137"/>
      <c r="D492" s="98"/>
      <c r="E492" s="98"/>
      <c r="F492" s="98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</row>
    <row r="493" spans="1:52" ht="15.75" customHeight="1">
      <c r="A493" s="9"/>
      <c r="B493" s="9"/>
      <c r="C493" s="137"/>
      <c r="D493" s="98"/>
      <c r="E493" s="98"/>
      <c r="F493" s="98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</row>
    <row r="494" spans="1:52" ht="15.75" customHeight="1">
      <c r="A494" s="9"/>
      <c r="B494" s="9"/>
      <c r="C494" s="137"/>
      <c r="D494" s="98"/>
      <c r="E494" s="98"/>
      <c r="F494" s="98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</row>
    <row r="495" spans="1:52" ht="15.75" customHeight="1">
      <c r="A495" s="9"/>
      <c r="B495" s="9"/>
      <c r="C495" s="137"/>
      <c r="D495" s="98"/>
      <c r="E495" s="98"/>
      <c r="F495" s="98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</row>
    <row r="496" spans="1:52" ht="15.75" customHeight="1">
      <c r="A496" s="9"/>
      <c r="B496" s="9"/>
      <c r="C496" s="137"/>
      <c r="D496" s="98"/>
      <c r="E496" s="98"/>
      <c r="F496" s="98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</row>
    <row r="497" spans="1:52" ht="15.75" customHeight="1">
      <c r="A497" s="9"/>
      <c r="B497" s="9"/>
      <c r="C497" s="137"/>
      <c r="D497" s="98"/>
      <c r="E497" s="98"/>
      <c r="F497" s="98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</row>
    <row r="498" spans="1:52" ht="15.75" customHeight="1">
      <c r="A498" s="9"/>
      <c r="B498" s="9"/>
      <c r="C498" s="137"/>
      <c r="D498" s="98"/>
      <c r="E498" s="98"/>
      <c r="F498" s="98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</row>
    <row r="499" spans="1:52" ht="15.75" customHeight="1">
      <c r="A499" s="9"/>
      <c r="B499" s="9"/>
      <c r="C499" s="137"/>
      <c r="D499" s="98"/>
      <c r="E499" s="98"/>
      <c r="F499" s="98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</row>
    <row r="500" spans="1:52" ht="15.75" customHeight="1">
      <c r="A500" s="9"/>
      <c r="B500" s="9"/>
      <c r="C500" s="137"/>
      <c r="D500" s="98"/>
      <c r="E500" s="98"/>
      <c r="F500" s="98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</row>
    <row r="501" spans="1:52" ht="15.75" customHeight="1">
      <c r="A501" s="9"/>
      <c r="B501" s="9"/>
      <c r="C501" s="137"/>
      <c r="D501" s="98"/>
      <c r="E501" s="98"/>
      <c r="F501" s="98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</row>
    <row r="502" spans="1:52" ht="15.75" customHeight="1">
      <c r="A502" s="9"/>
      <c r="B502" s="9"/>
      <c r="C502" s="137"/>
      <c r="D502" s="98"/>
      <c r="E502" s="98"/>
      <c r="F502" s="98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</row>
    <row r="503" spans="1:52" ht="15.75" customHeight="1">
      <c r="A503" s="9"/>
      <c r="B503" s="9"/>
      <c r="C503" s="137"/>
      <c r="D503" s="98"/>
      <c r="E503" s="98"/>
      <c r="F503" s="98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</row>
    <row r="504" spans="1:52" ht="15.75" customHeight="1">
      <c r="A504" s="9"/>
      <c r="B504" s="9"/>
      <c r="C504" s="137"/>
      <c r="D504" s="98"/>
      <c r="E504" s="98"/>
      <c r="F504" s="98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</row>
    <row r="505" spans="1:52" ht="15.75" customHeight="1">
      <c r="A505" s="9"/>
      <c r="B505" s="9"/>
      <c r="C505" s="137"/>
      <c r="D505" s="98"/>
      <c r="E505" s="98"/>
      <c r="F505" s="98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</row>
    <row r="506" spans="1:52" ht="15.75" customHeight="1">
      <c r="A506" s="9"/>
      <c r="B506" s="9"/>
      <c r="C506" s="137"/>
      <c r="D506" s="98"/>
      <c r="E506" s="98"/>
      <c r="F506" s="98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</row>
    <row r="507" spans="1:52" ht="15.75" customHeight="1">
      <c r="A507" s="9"/>
      <c r="B507" s="9"/>
      <c r="C507" s="137"/>
      <c r="D507" s="98"/>
      <c r="E507" s="98"/>
      <c r="F507" s="98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</row>
    <row r="508" spans="1:52" ht="15.75" customHeight="1">
      <c r="A508" s="9"/>
      <c r="B508" s="9"/>
      <c r="C508" s="137"/>
      <c r="D508" s="98"/>
      <c r="E508" s="98"/>
      <c r="F508" s="98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</row>
    <row r="509" spans="1:52" ht="15.75" customHeight="1">
      <c r="A509" s="9"/>
      <c r="B509" s="9"/>
      <c r="C509" s="137"/>
      <c r="D509" s="98"/>
      <c r="E509" s="98"/>
      <c r="F509" s="98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</row>
    <row r="510" spans="1:52" ht="15.75" customHeight="1">
      <c r="A510" s="9"/>
      <c r="B510" s="9"/>
      <c r="C510" s="137"/>
      <c r="D510" s="98"/>
      <c r="E510" s="98"/>
      <c r="F510" s="98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</row>
    <row r="511" spans="1:52" ht="15.75" customHeight="1">
      <c r="A511" s="9"/>
      <c r="B511" s="9"/>
      <c r="C511" s="137"/>
      <c r="D511" s="98"/>
      <c r="E511" s="98"/>
      <c r="F511" s="98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</row>
    <row r="512" spans="1:52" ht="15.75" customHeight="1">
      <c r="A512" s="9"/>
      <c r="B512" s="9"/>
      <c r="C512" s="137"/>
      <c r="D512" s="98"/>
      <c r="E512" s="98"/>
      <c r="F512" s="98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</row>
    <row r="513" spans="1:52" ht="15.75" customHeight="1">
      <c r="A513" s="9"/>
      <c r="B513" s="9"/>
      <c r="C513" s="137"/>
      <c r="D513" s="98"/>
      <c r="E513" s="98"/>
      <c r="F513" s="98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</row>
    <row r="514" spans="1:52" ht="15.75" customHeight="1">
      <c r="A514" s="9"/>
      <c r="B514" s="9"/>
      <c r="C514" s="137"/>
      <c r="D514" s="98"/>
      <c r="E514" s="98"/>
      <c r="F514" s="98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</row>
    <row r="515" spans="1:52" ht="15.75" customHeight="1">
      <c r="A515" s="9"/>
      <c r="B515" s="9"/>
      <c r="C515" s="137"/>
      <c r="D515" s="98"/>
      <c r="E515" s="98"/>
      <c r="F515" s="98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</row>
    <row r="516" spans="1:52" ht="15.75" customHeight="1">
      <c r="A516" s="9"/>
      <c r="B516" s="9"/>
      <c r="C516" s="137"/>
      <c r="D516" s="98"/>
      <c r="E516" s="98"/>
      <c r="F516" s="98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</row>
    <row r="517" spans="1:52" ht="15.75" customHeight="1">
      <c r="A517" s="9"/>
      <c r="B517" s="9"/>
      <c r="C517" s="137"/>
      <c r="D517" s="98"/>
      <c r="E517" s="98"/>
      <c r="F517" s="98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</row>
    <row r="518" spans="1:52" ht="15.75" customHeight="1">
      <c r="A518" s="9"/>
      <c r="B518" s="9"/>
      <c r="C518" s="137"/>
      <c r="D518" s="98"/>
      <c r="E518" s="98"/>
      <c r="F518" s="98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</row>
    <row r="519" spans="1:52" ht="15.75" customHeight="1">
      <c r="A519" s="9"/>
      <c r="B519" s="9"/>
      <c r="C519" s="137"/>
      <c r="D519" s="98"/>
      <c r="E519" s="98"/>
      <c r="F519" s="98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</row>
    <row r="520" spans="1:52" ht="15.75" customHeight="1">
      <c r="A520" s="9"/>
      <c r="B520" s="9"/>
      <c r="C520" s="137"/>
      <c r="D520" s="98"/>
      <c r="E520" s="98"/>
      <c r="F520" s="98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</row>
    <row r="521" spans="1:52" ht="15.75" customHeight="1">
      <c r="A521" s="9"/>
      <c r="B521" s="9"/>
      <c r="C521" s="137"/>
      <c r="D521" s="98"/>
      <c r="E521" s="98"/>
      <c r="F521" s="98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</row>
    <row r="522" spans="1:52" ht="15.75" customHeight="1">
      <c r="A522" s="9"/>
      <c r="B522" s="9"/>
      <c r="C522" s="137"/>
      <c r="D522" s="98"/>
      <c r="E522" s="98"/>
      <c r="F522" s="98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</row>
    <row r="523" spans="1:52" ht="15.75" customHeight="1">
      <c r="A523" s="9"/>
      <c r="B523" s="9"/>
      <c r="C523" s="137"/>
      <c r="D523" s="98"/>
      <c r="E523" s="98"/>
      <c r="F523" s="98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</row>
    <row r="524" spans="1:52" ht="15.75" customHeight="1">
      <c r="A524" s="9"/>
      <c r="B524" s="9"/>
      <c r="C524" s="137"/>
      <c r="D524" s="98"/>
      <c r="E524" s="98"/>
      <c r="F524" s="98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</row>
    <row r="525" spans="1:52" ht="15.75" customHeight="1">
      <c r="A525" s="9"/>
      <c r="B525" s="9"/>
      <c r="C525" s="137"/>
      <c r="D525" s="98"/>
      <c r="E525" s="98"/>
      <c r="F525" s="98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</row>
    <row r="526" spans="1:52" ht="15.75" customHeight="1">
      <c r="A526" s="9"/>
      <c r="B526" s="9"/>
      <c r="C526" s="137"/>
      <c r="D526" s="98"/>
      <c r="E526" s="98"/>
      <c r="F526" s="98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</row>
    <row r="527" spans="1:52" ht="15.75" customHeight="1">
      <c r="A527" s="9"/>
      <c r="B527" s="9"/>
      <c r="C527" s="137"/>
      <c r="D527" s="98"/>
      <c r="E527" s="98"/>
      <c r="F527" s="98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</row>
    <row r="528" spans="1:52" ht="15.75" customHeight="1">
      <c r="A528" s="9"/>
      <c r="B528" s="9"/>
      <c r="C528" s="137"/>
      <c r="D528" s="98"/>
      <c r="E528" s="98"/>
      <c r="F528" s="98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</row>
    <row r="529" spans="1:52" ht="15.75" customHeight="1">
      <c r="A529" s="9"/>
      <c r="B529" s="9"/>
      <c r="C529" s="137"/>
      <c r="D529" s="98"/>
      <c r="E529" s="98"/>
      <c r="F529" s="98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</row>
    <row r="530" spans="1:52" ht="15.75" customHeight="1">
      <c r="A530" s="9"/>
      <c r="B530" s="9"/>
      <c r="C530" s="137"/>
      <c r="D530" s="98"/>
      <c r="E530" s="98"/>
      <c r="F530" s="98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</row>
    <row r="531" spans="1:52" ht="15.75" customHeight="1">
      <c r="A531" s="9"/>
      <c r="B531" s="9"/>
      <c r="C531" s="137"/>
      <c r="D531" s="98"/>
      <c r="E531" s="98"/>
      <c r="F531" s="98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</row>
    <row r="532" spans="1:52" ht="15.75" customHeight="1">
      <c r="A532" s="9"/>
      <c r="B532" s="9"/>
      <c r="C532" s="137"/>
      <c r="D532" s="98"/>
      <c r="E532" s="98"/>
      <c r="F532" s="98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</row>
    <row r="533" spans="1:52" ht="15.75" customHeight="1">
      <c r="A533" s="9"/>
      <c r="B533" s="9"/>
      <c r="C533" s="137"/>
      <c r="D533" s="98"/>
      <c r="E533" s="98"/>
      <c r="F533" s="98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</row>
    <row r="534" spans="1:52" ht="15.75" customHeight="1">
      <c r="A534" s="9"/>
      <c r="B534" s="9"/>
      <c r="C534" s="137"/>
      <c r="D534" s="98"/>
      <c r="E534" s="98"/>
      <c r="F534" s="98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</row>
    <row r="535" spans="1:52" ht="15.75" customHeight="1">
      <c r="A535" s="9"/>
      <c r="B535" s="9"/>
      <c r="C535" s="137"/>
      <c r="D535" s="98"/>
      <c r="E535" s="98"/>
      <c r="F535" s="98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</row>
    <row r="536" spans="1:52" ht="15.75" customHeight="1">
      <c r="A536" s="9"/>
      <c r="B536" s="9"/>
      <c r="C536" s="137"/>
      <c r="D536" s="98"/>
      <c r="E536" s="98"/>
      <c r="F536" s="98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</row>
    <row r="537" spans="1:52" ht="15.75" customHeight="1">
      <c r="A537" s="9"/>
      <c r="B537" s="9"/>
      <c r="C537" s="137"/>
      <c r="D537" s="98"/>
      <c r="E537" s="98"/>
      <c r="F537" s="98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</row>
    <row r="538" spans="1:52" ht="15.75" customHeight="1">
      <c r="A538" s="9"/>
      <c r="B538" s="9"/>
      <c r="C538" s="137"/>
      <c r="D538" s="98"/>
      <c r="E538" s="98"/>
      <c r="F538" s="98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</row>
    <row r="539" spans="1:52" ht="15.75" customHeight="1">
      <c r="A539" s="9"/>
      <c r="B539" s="9"/>
      <c r="C539" s="137"/>
      <c r="D539" s="98"/>
      <c r="E539" s="98"/>
      <c r="F539" s="98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</row>
    <row r="540" spans="1:52" ht="15.75" customHeight="1">
      <c r="A540" s="9"/>
      <c r="B540" s="9"/>
      <c r="C540" s="137"/>
      <c r="D540" s="98"/>
      <c r="E540" s="98"/>
      <c r="F540" s="98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</row>
    <row r="541" spans="1:52" ht="15.75" customHeight="1">
      <c r="A541" s="9"/>
      <c r="B541" s="9"/>
      <c r="C541" s="137"/>
      <c r="D541" s="98"/>
      <c r="E541" s="98"/>
      <c r="F541" s="98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</row>
    <row r="542" spans="1:52" ht="15.75" customHeight="1">
      <c r="A542" s="9"/>
      <c r="B542" s="9"/>
      <c r="C542" s="137"/>
      <c r="D542" s="98"/>
      <c r="E542" s="98"/>
      <c r="F542" s="98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</row>
    <row r="543" spans="1:52" ht="15.75" customHeight="1">
      <c r="A543" s="9"/>
      <c r="B543" s="9"/>
      <c r="C543" s="137"/>
      <c r="D543" s="98"/>
      <c r="E543" s="98"/>
      <c r="F543" s="98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</row>
    <row r="544" spans="1:52" ht="15.75" customHeight="1">
      <c r="A544" s="9"/>
      <c r="B544" s="9"/>
      <c r="C544" s="137"/>
      <c r="D544" s="98"/>
      <c r="E544" s="98"/>
      <c r="F544" s="98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</row>
    <row r="545" spans="1:52" ht="15.75" customHeight="1">
      <c r="A545" s="9"/>
      <c r="B545" s="9"/>
      <c r="C545" s="137"/>
      <c r="D545" s="98"/>
      <c r="E545" s="98"/>
      <c r="F545" s="98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</row>
    <row r="546" spans="1:52" ht="15.75" customHeight="1">
      <c r="A546" s="9"/>
      <c r="B546" s="9"/>
      <c r="C546" s="137"/>
      <c r="D546" s="98"/>
      <c r="E546" s="98"/>
      <c r="F546" s="98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</row>
    <row r="547" spans="1:52" ht="15.75" customHeight="1">
      <c r="A547" s="9"/>
      <c r="B547" s="9"/>
      <c r="C547" s="137"/>
      <c r="D547" s="98"/>
      <c r="E547" s="98"/>
      <c r="F547" s="98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</row>
    <row r="548" spans="1:52" ht="15.75" customHeight="1">
      <c r="A548" s="9"/>
      <c r="B548" s="9"/>
      <c r="C548" s="137"/>
      <c r="D548" s="98"/>
      <c r="E548" s="98"/>
      <c r="F548" s="98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</row>
    <row r="549" spans="1:52" ht="15.75" customHeight="1">
      <c r="A549" s="9"/>
      <c r="B549" s="9"/>
      <c r="C549" s="137"/>
      <c r="D549" s="98"/>
      <c r="E549" s="98"/>
      <c r="F549" s="98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</row>
    <row r="550" spans="1:52" ht="15.75" customHeight="1">
      <c r="A550" s="9"/>
      <c r="B550" s="9"/>
      <c r="C550" s="137"/>
      <c r="D550" s="98"/>
      <c r="E550" s="98"/>
      <c r="F550" s="98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</row>
    <row r="551" spans="1:52" ht="15.75" customHeight="1">
      <c r="A551" s="9"/>
      <c r="B551" s="9"/>
      <c r="C551" s="137"/>
      <c r="D551" s="98"/>
      <c r="E551" s="98"/>
      <c r="F551" s="98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</row>
    <row r="552" spans="1:52" ht="15.75" customHeight="1">
      <c r="A552" s="9"/>
      <c r="B552" s="9"/>
      <c r="C552" s="137"/>
      <c r="D552" s="98"/>
      <c r="E552" s="98"/>
      <c r="F552" s="98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</row>
    <row r="553" spans="1:52" ht="15.75" customHeight="1">
      <c r="A553" s="9"/>
      <c r="B553" s="9"/>
      <c r="C553" s="137"/>
      <c r="D553" s="98"/>
      <c r="E553" s="98"/>
      <c r="F553" s="98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</row>
    <row r="554" spans="1:52" ht="15.75" customHeight="1">
      <c r="A554" s="9"/>
      <c r="B554" s="9"/>
      <c r="C554" s="137"/>
      <c r="D554" s="98"/>
      <c r="E554" s="98"/>
      <c r="F554" s="98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</row>
    <row r="555" spans="1:52" ht="15.75" customHeight="1">
      <c r="A555" s="9"/>
      <c r="B555" s="9"/>
      <c r="C555" s="137"/>
      <c r="D555" s="98"/>
      <c r="E555" s="98"/>
      <c r="F555" s="98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</row>
    <row r="556" spans="1:52" ht="15.75" customHeight="1">
      <c r="A556" s="9"/>
      <c r="B556" s="9"/>
      <c r="C556" s="137"/>
      <c r="D556" s="98"/>
      <c r="E556" s="98"/>
      <c r="F556" s="98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</row>
    <row r="557" spans="1:52" ht="15.75" customHeight="1">
      <c r="A557" s="9"/>
      <c r="B557" s="9"/>
      <c r="C557" s="137"/>
      <c r="D557" s="98"/>
      <c r="E557" s="98"/>
      <c r="F557" s="98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</row>
    <row r="558" spans="1:52" ht="15.75" customHeight="1">
      <c r="A558" s="9"/>
      <c r="B558" s="9"/>
      <c r="C558" s="137"/>
      <c r="D558" s="98"/>
      <c r="E558" s="98"/>
      <c r="F558" s="98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</row>
    <row r="559" spans="1:52" ht="15.75" customHeight="1">
      <c r="A559" s="9"/>
      <c r="B559" s="9"/>
      <c r="C559" s="137"/>
      <c r="D559" s="98"/>
      <c r="E559" s="98"/>
      <c r="F559" s="98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</row>
    <row r="560" spans="1:52" ht="15.75" customHeight="1">
      <c r="A560" s="9"/>
      <c r="B560" s="9"/>
      <c r="C560" s="137"/>
      <c r="D560" s="98"/>
      <c r="E560" s="98"/>
      <c r="F560" s="98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</row>
    <row r="561" spans="1:52" ht="15.75" customHeight="1">
      <c r="A561" s="9"/>
      <c r="B561" s="9"/>
      <c r="C561" s="137"/>
      <c r="D561" s="98"/>
      <c r="E561" s="98"/>
      <c r="F561" s="98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</row>
    <row r="562" spans="1:52" ht="15.75" customHeight="1">
      <c r="A562" s="9"/>
      <c r="B562" s="9"/>
      <c r="C562" s="137"/>
      <c r="D562" s="98"/>
      <c r="E562" s="98"/>
      <c r="F562" s="98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</row>
    <row r="563" spans="1:52" ht="15.75" customHeight="1">
      <c r="A563" s="9"/>
      <c r="B563" s="9"/>
      <c r="C563" s="137"/>
      <c r="D563" s="98"/>
      <c r="E563" s="98"/>
      <c r="F563" s="98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</row>
    <row r="564" spans="1:52" ht="15.75" customHeight="1">
      <c r="A564" s="9"/>
      <c r="B564" s="9"/>
      <c r="C564" s="137"/>
      <c r="D564" s="98"/>
      <c r="E564" s="98"/>
      <c r="F564" s="98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</row>
    <row r="565" spans="1:52" ht="15.75" customHeight="1">
      <c r="A565" s="9"/>
      <c r="B565" s="9"/>
      <c r="C565" s="137"/>
      <c r="D565" s="98"/>
      <c r="E565" s="98"/>
      <c r="F565" s="98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</row>
    <row r="566" spans="1:52" ht="15.75" customHeight="1">
      <c r="A566" s="9"/>
      <c r="B566" s="9"/>
      <c r="C566" s="137"/>
      <c r="D566" s="98"/>
      <c r="E566" s="98"/>
      <c r="F566" s="98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</row>
    <row r="567" spans="1:52" ht="15.75" customHeight="1">
      <c r="A567" s="9"/>
      <c r="B567" s="9"/>
      <c r="C567" s="137"/>
      <c r="D567" s="98"/>
      <c r="E567" s="98"/>
      <c r="F567" s="98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</row>
    <row r="568" spans="1:52" ht="15.75" customHeight="1">
      <c r="A568" s="9"/>
      <c r="B568" s="9"/>
      <c r="C568" s="137"/>
      <c r="D568" s="98"/>
      <c r="E568" s="98"/>
      <c r="F568" s="98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</row>
    <row r="569" spans="1:52" ht="15.75" customHeight="1">
      <c r="A569" s="9"/>
      <c r="B569" s="9"/>
      <c r="C569" s="137"/>
      <c r="D569" s="98"/>
      <c r="E569" s="98"/>
      <c r="F569" s="98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</row>
    <row r="570" spans="1:52" ht="15.75" customHeight="1">
      <c r="A570" s="9"/>
      <c r="B570" s="9"/>
      <c r="C570" s="137"/>
      <c r="D570" s="98"/>
      <c r="E570" s="98"/>
      <c r="F570" s="98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</row>
    <row r="571" spans="1:52" ht="15.75" customHeight="1">
      <c r="A571" s="9"/>
      <c r="B571" s="9"/>
      <c r="C571" s="137"/>
      <c r="D571" s="98"/>
      <c r="E571" s="98"/>
      <c r="F571" s="98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</row>
    <row r="572" spans="1:52" ht="15.75" customHeight="1">
      <c r="A572" s="9"/>
      <c r="B572" s="9"/>
      <c r="C572" s="137"/>
      <c r="D572" s="98"/>
      <c r="E572" s="98"/>
      <c r="F572" s="98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</row>
    <row r="573" spans="1:52" ht="15.75" customHeight="1">
      <c r="A573" s="9"/>
      <c r="B573" s="9"/>
      <c r="C573" s="137"/>
      <c r="D573" s="98"/>
      <c r="E573" s="98"/>
      <c r="F573" s="98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</row>
    <row r="574" spans="1:52" ht="15.75" customHeight="1">
      <c r="A574" s="9"/>
      <c r="B574" s="9"/>
      <c r="C574" s="137"/>
      <c r="D574" s="98"/>
      <c r="E574" s="98"/>
      <c r="F574" s="98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</row>
    <row r="575" spans="1:52" ht="15.75" customHeight="1">
      <c r="A575" s="9"/>
      <c r="B575" s="9"/>
      <c r="C575" s="137"/>
      <c r="D575" s="98"/>
      <c r="E575" s="98"/>
      <c r="F575" s="98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</row>
    <row r="576" spans="1:52" ht="15.75" customHeight="1">
      <c r="A576" s="9"/>
      <c r="B576" s="9"/>
      <c r="C576" s="137"/>
      <c r="D576" s="98"/>
      <c r="E576" s="98"/>
      <c r="F576" s="98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</row>
    <row r="577" spans="1:52" ht="15.75" customHeight="1">
      <c r="A577" s="9"/>
      <c r="B577" s="9"/>
      <c r="C577" s="137"/>
      <c r="D577" s="98"/>
      <c r="E577" s="98"/>
      <c r="F577" s="98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</row>
    <row r="578" spans="1:52" ht="15.75" customHeight="1">
      <c r="A578" s="9"/>
      <c r="B578" s="9"/>
      <c r="C578" s="137"/>
      <c r="D578" s="98"/>
      <c r="E578" s="98"/>
      <c r="F578" s="98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</row>
    <row r="579" spans="1:52" ht="15.75" customHeight="1">
      <c r="A579" s="9"/>
      <c r="B579" s="9"/>
      <c r="C579" s="137"/>
      <c r="D579" s="98"/>
      <c r="E579" s="98"/>
      <c r="F579" s="98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</row>
    <row r="580" spans="1:52" ht="15.75" customHeight="1">
      <c r="A580" s="9"/>
      <c r="B580" s="9"/>
      <c r="C580" s="137"/>
      <c r="D580" s="98"/>
      <c r="E580" s="98"/>
      <c r="F580" s="98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</row>
    <row r="581" spans="1:52" ht="15.75" customHeight="1">
      <c r="A581" s="9"/>
      <c r="B581" s="9"/>
      <c r="C581" s="137"/>
      <c r="D581" s="98"/>
      <c r="E581" s="98"/>
      <c r="F581" s="98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</row>
    <row r="582" spans="1:52" ht="15.75" customHeight="1">
      <c r="A582" s="9"/>
      <c r="B582" s="9"/>
      <c r="C582" s="137"/>
      <c r="D582" s="98"/>
      <c r="E582" s="98"/>
      <c r="F582" s="98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</row>
    <row r="583" spans="1:52" ht="15.75" customHeight="1">
      <c r="A583" s="9"/>
      <c r="B583" s="9"/>
      <c r="C583" s="137"/>
      <c r="D583" s="98"/>
      <c r="E583" s="98"/>
      <c r="F583" s="98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</row>
    <row r="584" spans="1:52" ht="15.75" customHeight="1">
      <c r="A584" s="9"/>
      <c r="B584" s="9"/>
      <c r="C584" s="137"/>
      <c r="D584" s="98"/>
      <c r="E584" s="98"/>
      <c r="F584" s="98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</row>
    <row r="585" spans="1:52" ht="15.75" customHeight="1">
      <c r="A585" s="9"/>
      <c r="B585" s="9"/>
      <c r="C585" s="137"/>
      <c r="D585" s="98"/>
      <c r="E585" s="98"/>
      <c r="F585" s="98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</row>
    <row r="586" spans="1:52" ht="15.75" customHeight="1">
      <c r="A586" s="9"/>
      <c r="B586" s="9"/>
      <c r="C586" s="137"/>
      <c r="D586" s="98"/>
      <c r="E586" s="98"/>
      <c r="F586" s="98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</row>
    <row r="587" spans="1:52" ht="15.75" customHeight="1">
      <c r="A587" s="9"/>
      <c r="B587" s="9"/>
      <c r="C587" s="137"/>
      <c r="D587" s="98"/>
      <c r="E587" s="98"/>
      <c r="F587" s="98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</row>
    <row r="588" spans="1:52" ht="15.75" customHeight="1">
      <c r="A588" s="9"/>
      <c r="B588" s="9"/>
      <c r="C588" s="137"/>
      <c r="D588" s="98"/>
      <c r="E588" s="98"/>
      <c r="F588" s="98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</row>
    <row r="589" spans="1:52" ht="15.75" customHeight="1">
      <c r="A589" s="9"/>
      <c r="B589" s="9"/>
      <c r="C589" s="137"/>
      <c r="D589" s="98"/>
      <c r="E589" s="98"/>
      <c r="F589" s="98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</row>
    <row r="590" spans="1:52" ht="15.75" customHeight="1">
      <c r="A590" s="9"/>
      <c r="B590" s="9"/>
      <c r="C590" s="137"/>
      <c r="D590" s="98"/>
      <c r="E590" s="98"/>
      <c r="F590" s="98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</row>
    <row r="591" spans="1:52" ht="15.75" customHeight="1">
      <c r="A591" s="9"/>
      <c r="B591" s="9"/>
      <c r="C591" s="137"/>
      <c r="D591" s="98"/>
      <c r="E591" s="98"/>
      <c r="F591" s="98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</row>
    <row r="592" spans="1:52" ht="15.75" customHeight="1">
      <c r="A592" s="9"/>
      <c r="B592" s="9"/>
      <c r="C592" s="137"/>
      <c r="D592" s="98"/>
      <c r="E592" s="98"/>
      <c r="F592" s="98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</row>
    <row r="593" spans="1:52" ht="15.75" customHeight="1">
      <c r="A593" s="9"/>
      <c r="B593" s="9"/>
      <c r="C593" s="137"/>
      <c r="D593" s="98"/>
      <c r="E593" s="98"/>
      <c r="F593" s="98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</row>
    <row r="594" spans="1:52" ht="15.75" customHeight="1">
      <c r="A594" s="9"/>
      <c r="B594" s="9"/>
      <c r="C594" s="137"/>
      <c r="D594" s="98"/>
      <c r="E594" s="98"/>
      <c r="F594" s="98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</row>
    <row r="595" spans="1:52" ht="15.75" customHeight="1">
      <c r="A595" s="9"/>
      <c r="B595" s="9"/>
      <c r="C595" s="137"/>
      <c r="D595" s="98"/>
      <c r="E595" s="98"/>
      <c r="F595" s="98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</row>
    <row r="596" spans="1:52" ht="15.75" customHeight="1">
      <c r="A596" s="9"/>
      <c r="B596" s="9"/>
      <c r="C596" s="137"/>
      <c r="D596" s="98"/>
      <c r="E596" s="98"/>
      <c r="F596" s="98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</row>
    <row r="597" spans="1:52" ht="15.75" customHeight="1">
      <c r="A597" s="9"/>
      <c r="B597" s="9"/>
      <c r="C597" s="137"/>
      <c r="D597" s="98"/>
      <c r="E597" s="98"/>
      <c r="F597" s="98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</row>
    <row r="598" spans="1:52" ht="15.75" customHeight="1">
      <c r="A598" s="9"/>
      <c r="B598" s="9"/>
      <c r="C598" s="137"/>
      <c r="D598" s="98"/>
      <c r="E598" s="98"/>
      <c r="F598" s="98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</row>
    <row r="599" spans="1:52" ht="15.75" customHeight="1">
      <c r="A599" s="9"/>
      <c r="B599" s="9"/>
      <c r="C599" s="137"/>
      <c r="D599" s="98"/>
      <c r="E599" s="98"/>
      <c r="F599" s="98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</row>
    <row r="600" spans="1:52" ht="15.75" customHeight="1">
      <c r="A600" s="9"/>
      <c r="B600" s="9"/>
      <c r="C600" s="137"/>
      <c r="D600" s="98"/>
      <c r="E600" s="98"/>
      <c r="F600" s="98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</row>
    <row r="601" spans="1:52" ht="15.75" customHeight="1">
      <c r="A601" s="9"/>
      <c r="B601" s="9"/>
      <c r="C601" s="137"/>
      <c r="D601" s="98"/>
      <c r="E601" s="98"/>
      <c r="F601" s="98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</row>
    <row r="602" spans="1:52" ht="15.75" customHeight="1">
      <c r="A602" s="9"/>
      <c r="B602" s="9"/>
      <c r="C602" s="137"/>
      <c r="D602" s="98"/>
      <c r="E602" s="98"/>
      <c r="F602" s="98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</row>
    <row r="603" spans="1:52" ht="15.75" customHeight="1">
      <c r="A603" s="9"/>
      <c r="B603" s="9"/>
      <c r="C603" s="137"/>
      <c r="D603" s="98"/>
      <c r="E603" s="98"/>
      <c r="F603" s="98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</row>
    <row r="604" spans="1:52" ht="15.75" customHeight="1">
      <c r="A604" s="9"/>
      <c r="B604" s="9"/>
      <c r="C604" s="137"/>
      <c r="D604" s="98"/>
      <c r="E604" s="98"/>
      <c r="F604" s="98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</row>
    <row r="605" spans="1:52" ht="15.75" customHeight="1">
      <c r="A605" s="9"/>
      <c r="B605" s="9"/>
      <c r="C605" s="137"/>
      <c r="D605" s="98"/>
      <c r="E605" s="98"/>
      <c r="F605" s="98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</row>
    <row r="606" spans="1:52" ht="15.75" customHeight="1">
      <c r="A606" s="9"/>
      <c r="B606" s="9"/>
      <c r="C606" s="137"/>
      <c r="D606" s="98"/>
      <c r="E606" s="98"/>
      <c r="F606" s="98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</row>
    <row r="607" spans="1:52" ht="15.75" customHeight="1">
      <c r="A607" s="9"/>
      <c r="B607" s="9"/>
      <c r="C607" s="137"/>
      <c r="D607" s="98"/>
      <c r="E607" s="98"/>
      <c r="F607" s="98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</row>
    <row r="608" spans="1:52" ht="15.75" customHeight="1">
      <c r="A608" s="9"/>
      <c r="B608" s="9"/>
      <c r="C608" s="137"/>
      <c r="D608" s="98"/>
      <c r="E608" s="98"/>
      <c r="F608" s="98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</row>
    <row r="609" spans="1:52" ht="15.75" customHeight="1">
      <c r="A609" s="9"/>
      <c r="B609" s="9"/>
      <c r="C609" s="137"/>
      <c r="D609" s="98"/>
      <c r="E609" s="98"/>
      <c r="F609" s="98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</row>
    <row r="610" spans="1:52" ht="15.75" customHeight="1">
      <c r="A610" s="9"/>
      <c r="B610" s="9"/>
      <c r="C610" s="137"/>
      <c r="D610" s="98"/>
      <c r="E610" s="98"/>
      <c r="F610" s="98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</row>
    <row r="611" spans="1:52" ht="15.75" customHeight="1">
      <c r="A611" s="9"/>
      <c r="B611" s="9"/>
      <c r="C611" s="137"/>
      <c r="D611" s="98"/>
      <c r="E611" s="98"/>
      <c r="F611" s="98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</row>
    <row r="612" spans="1:52" ht="15.75" customHeight="1">
      <c r="A612" s="9"/>
      <c r="B612" s="9"/>
      <c r="C612" s="137"/>
      <c r="D612" s="98"/>
      <c r="E612" s="98"/>
      <c r="F612" s="98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</row>
    <row r="613" spans="1:52" ht="15.75" customHeight="1">
      <c r="A613" s="9"/>
      <c r="B613" s="9"/>
      <c r="C613" s="137"/>
      <c r="D613" s="98"/>
      <c r="E613" s="98"/>
      <c r="F613" s="98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</row>
    <row r="614" spans="1:52" ht="15.75" customHeight="1">
      <c r="A614" s="9"/>
      <c r="B614" s="9"/>
      <c r="C614" s="137"/>
      <c r="D614" s="98"/>
      <c r="E614" s="98"/>
      <c r="F614" s="98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</row>
    <row r="615" spans="1:52" ht="15.75" customHeight="1">
      <c r="A615" s="9"/>
      <c r="B615" s="9"/>
      <c r="C615" s="137"/>
      <c r="D615" s="98"/>
      <c r="E615" s="98"/>
      <c r="F615" s="98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</row>
    <row r="616" spans="1:52" ht="15.75" customHeight="1">
      <c r="A616" s="9"/>
      <c r="B616" s="9"/>
      <c r="C616" s="137"/>
      <c r="D616" s="98"/>
      <c r="E616" s="98"/>
      <c r="F616" s="98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</row>
    <row r="617" spans="1:52" ht="15.75" customHeight="1">
      <c r="A617" s="9"/>
      <c r="B617" s="9"/>
      <c r="C617" s="137"/>
      <c r="D617" s="98"/>
      <c r="E617" s="98"/>
      <c r="F617" s="98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</row>
    <row r="618" spans="1:52" ht="15.75" customHeight="1">
      <c r="A618" s="9"/>
      <c r="B618" s="9"/>
      <c r="C618" s="137"/>
      <c r="D618" s="98"/>
      <c r="E618" s="98"/>
      <c r="F618" s="98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</row>
    <row r="619" spans="1:52" ht="15.75" customHeight="1">
      <c r="A619" s="9"/>
      <c r="B619" s="9"/>
      <c r="C619" s="137"/>
      <c r="D619" s="98"/>
      <c r="E619" s="98"/>
      <c r="F619" s="98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</row>
    <row r="620" spans="1:52" ht="15.75" customHeight="1">
      <c r="A620" s="9"/>
      <c r="B620" s="9"/>
      <c r="C620" s="137"/>
      <c r="D620" s="98"/>
      <c r="E620" s="98"/>
      <c r="F620" s="98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</row>
    <row r="621" spans="1:52" ht="15.75" customHeight="1">
      <c r="A621" s="9"/>
      <c r="B621" s="9"/>
      <c r="C621" s="137"/>
      <c r="D621" s="98"/>
      <c r="E621" s="98"/>
      <c r="F621" s="98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</row>
    <row r="622" spans="1:52" ht="15.75" customHeight="1">
      <c r="A622" s="9"/>
      <c r="B622" s="9"/>
      <c r="C622" s="137"/>
      <c r="D622" s="98"/>
      <c r="E622" s="98"/>
      <c r="F622" s="98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</row>
    <row r="623" spans="1:52" ht="15.75" customHeight="1">
      <c r="A623" s="9"/>
      <c r="B623" s="9"/>
      <c r="C623" s="137"/>
      <c r="D623" s="98"/>
      <c r="E623" s="98"/>
      <c r="F623" s="98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</row>
    <row r="624" spans="1:52" ht="15.75" customHeight="1">
      <c r="A624" s="9"/>
      <c r="B624" s="9"/>
      <c r="C624" s="137"/>
      <c r="D624" s="98"/>
      <c r="E624" s="98"/>
      <c r="F624" s="98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</row>
    <row r="625" spans="1:52" ht="15.75" customHeight="1">
      <c r="A625" s="9"/>
      <c r="B625" s="9"/>
      <c r="C625" s="137"/>
      <c r="D625" s="98"/>
      <c r="E625" s="98"/>
      <c r="F625" s="98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</row>
    <row r="626" spans="1:52" ht="15.75" customHeight="1">
      <c r="A626" s="9"/>
      <c r="B626" s="9"/>
      <c r="C626" s="137"/>
      <c r="D626" s="98"/>
      <c r="E626" s="98"/>
      <c r="F626" s="98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</row>
    <row r="627" spans="1:52" ht="15.75" customHeight="1">
      <c r="A627" s="9"/>
      <c r="B627" s="9"/>
      <c r="C627" s="137"/>
      <c r="D627" s="98"/>
      <c r="E627" s="98"/>
      <c r="F627" s="98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</row>
    <row r="628" spans="1:52" ht="15.75" customHeight="1">
      <c r="A628" s="9"/>
      <c r="B628" s="9"/>
      <c r="C628" s="137"/>
      <c r="D628" s="98"/>
      <c r="E628" s="98"/>
      <c r="F628" s="98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</row>
    <row r="629" spans="1:52" ht="15.75" customHeight="1">
      <c r="A629" s="9"/>
      <c r="B629" s="9"/>
      <c r="C629" s="137"/>
      <c r="D629" s="98"/>
      <c r="E629" s="98"/>
      <c r="F629" s="98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</row>
    <row r="630" spans="1:52" ht="15.75" customHeight="1">
      <c r="A630" s="9"/>
      <c r="B630" s="9"/>
      <c r="C630" s="137"/>
      <c r="D630" s="98"/>
      <c r="E630" s="98"/>
      <c r="F630" s="98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</row>
    <row r="631" spans="1:52" ht="15.75" customHeight="1">
      <c r="A631" s="9"/>
      <c r="B631" s="9"/>
      <c r="C631" s="137"/>
      <c r="D631" s="98"/>
      <c r="E631" s="98"/>
      <c r="F631" s="98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</row>
    <row r="632" spans="1:52" ht="15.75" customHeight="1">
      <c r="A632" s="9"/>
      <c r="B632" s="9"/>
      <c r="C632" s="137"/>
      <c r="D632" s="98"/>
      <c r="E632" s="98"/>
      <c r="F632" s="98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</row>
    <row r="633" spans="1:52" ht="15.75" customHeight="1">
      <c r="A633" s="9"/>
      <c r="B633" s="9"/>
      <c r="C633" s="137"/>
      <c r="D633" s="98"/>
      <c r="E633" s="98"/>
      <c r="F633" s="98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</row>
    <row r="634" spans="1:52" ht="15.75" customHeight="1">
      <c r="A634" s="9"/>
      <c r="B634" s="9"/>
      <c r="C634" s="137"/>
      <c r="D634" s="98"/>
      <c r="E634" s="98"/>
      <c r="F634" s="98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</row>
    <row r="635" spans="1:52" ht="15.75" customHeight="1">
      <c r="A635" s="9"/>
      <c r="B635" s="9"/>
      <c r="C635" s="137"/>
      <c r="D635" s="98"/>
      <c r="E635" s="98"/>
      <c r="F635" s="98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</row>
    <row r="636" spans="1:52" ht="15.75" customHeight="1">
      <c r="A636" s="9"/>
      <c r="B636" s="9"/>
      <c r="C636" s="137"/>
      <c r="D636" s="98"/>
      <c r="E636" s="98"/>
      <c r="F636" s="98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</row>
    <row r="637" spans="1:52" ht="15.75" customHeight="1">
      <c r="A637" s="9"/>
      <c r="B637" s="9"/>
      <c r="C637" s="137"/>
      <c r="D637" s="98"/>
      <c r="E637" s="98"/>
      <c r="F637" s="98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</row>
    <row r="638" spans="1:52" ht="15.75" customHeight="1">
      <c r="A638" s="9"/>
      <c r="B638" s="9"/>
      <c r="C638" s="137"/>
      <c r="D638" s="98"/>
      <c r="E638" s="98"/>
      <c r="F638" s="98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</row>
    <row r="639" spans="1:52" ht="15.75" customHeight="1">
      <c r="A639" s="9"/>
      <c r="B639" s="9"/>
      <c r="C639" s="137"/>
      <c r="D639" s="98"/>
      <c r="E639" s="98"/>
      <c r="F639" s="98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</row>
    <row r="640" spans="1:52" ht="15.75" customHeight="1">
      <c r="A640" s="9"/>
      <c r="B640" s="9"/>
      <c r="C640" s="137"/>
      <c r="D640" s="98"/>
      <c r="E640" s="98"/>
      <c r="F640" s="98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</row>
    <row r="641" spans="1:52" ht="15.75" customHeight="1">
      <c r="A641" s="9"/>
      <c r="B641" s="9"/>
      <c r="C641" s="137"/>
      <c r="D641" s="98"/>
      <c r="E641" s="98"/>
      <c r="F641" s="98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</row>
    <row r="642" spans="1:52" ht="15.75" customHeight="1">
      <c r="A642" s="9"/>
      <c r="B642" s="9"/>
      <c r="C642" s="137"/>
      <c r="D642" s="98"/>
      <c r="E642" s="98"/>
      <c r="F642" s="98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</row>
    <row r="643" spans="1:52" ht="15.75" customHeight="1">
      <c r="A643" s="9"/>
      <c r="B643" s="9"/>
      <c r="C643" s="137"/>
      <c r="D643" s="98"/>
      <c r="E643" s="98"/>
      <c r="F643" s="98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</row>
    <row r="644" spans="1:52" ht="15.75" customHeight="1">
      <c r="A644" s="9"/>
      <c r="B644" s="9"/>
      <c r="C644" s="137"/>
      <c r="D644" s="98"/>
      <c r="E644" s="98"/>
      <c r="F644" s="98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</row>
    <row r="645" spans="1:52" ht="15.75" customHeight="1">
      <c r="A645" s="9"/>
      <c r="B645" s="9"/>
      <c r="C645" s="137"/>
      <c r="D645" s="98"/>
      <c r="E645" s="98"/>
      <c r="F645" s="98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</row>
    <row r="646" spans="1:52" ht="15.75" customHeight="1">
      <c r="A646" s="9"/>
      <c r="B646" s="9"/>
      <c r="C646" s="137"/>
      <c r="D646" s="98"/>
      <c r="E646" s="98"/>
      <c r="F646" s="98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</row>
    <row r="647" spans="1:52" ht="15.75" customHeight="1">
      <c r="A647" s="9"/>
      <c r="B647" s="9"/>
      <c r="C647" s="137"/>
      <c r="D647" s="98"/>
      <c r="E647" s="98"/>
      <c r="F647" s="98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</row>
    <row r="648" spans="1:52" ht="15.75" customHeight="1">
      <c r="A648" s="9"/>
      <c r="B648" s="9"/>
      <c r="C648" s="137"/>
      <c r="D648" s="98"/>
      <c r="E648" s="98"/>
      <c r="F648" s="98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</row>
    <row r="649" spans="1:52" ht="15.75" customHeight="1">
      <c r="A649" s="9"/>
      <c r="B649" s="9"/>
      <c r="C649" s="137"/>
      <c r="D649" s="98"/>
      <c r="E649" s="98"/>
      <c r="F649" s="98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</row>
    <row r="650" spans="1:52" ht="15.75" customHeight="1">
      <c r="A650" s="9"/>
      <c r="B650" s="9"/>
      <c r="C650" s="137"/>
      <c r="D650" s="98"/>
      <c r="E650" s="98"/>
      <c r="F650" s="98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</row>
    <row r="651" spans="1:52" ht="15.75" customHeight="1">
      <c r="A651" s="9"/>
      <c r="B651" s="9"/>
      <c r="C651" s="137"/>
      <c r="D651" s="98"/>
      <c r="E651" s="98"/>
      <c r="F651" s="98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</row>
    <row r="652" spans="1:52" ht="15.75" customHeight="1">
      <c r="A652" s="9"/>
      <c r="B652" s="9"/>
      <c r="C652" s="137"/>
      <c r="D652" s="98"/>
      <c r="E652" s="98"/>
      <c r="F652" s="98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</row>
    <row r="653" spans="1:52" ht="15.75" customHeight="1">
      <c r="A653" s="9"/>
      <c r="B653" s="9"/>
      <c r="C653" s="137"/>
      <c r="D653" s="98"/>
      <c r="E653" s="98"/>
      <c r="F653" s="98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</row>
    <row r="654" spans="1:52" ht="15.75" customHeight="1">
      <c r="A654" s="9"/>
      <c r="B654" s="9"/>
      <c r="C654" s="137"/>
      <c r="D654" s="98"/>
      <c r="E654" s="98"/>
      <c r="F654" s="98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</row>
    <row r="655" spans="1:52" ht="15.75" customHeight="1">
      <c r="A655" s="9"/>
      <c r="B655" s="9"/>
      <c r="C655" s="137"/>
      <c r="D655" s="98"/>
      <c r="E655" s="98"/>
      <c r="F655" s="98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</row>
    <row r="656" spans="1:52" ht="15.75" customHeight="1">
      <c r="A656" s="9"/>
      <c r="B656" s="9"/>
      <c r="C656" s="137"/>
      <c r="D656" s="98"/>
      <c r="E656" s="98"/>
      <c r="F656" s="98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</row>
    <row r="657" spans="1:52" ht="15.75" customHeight="1">
      <c r="A657" s="9"/>
      <c r="B657" s="9"/>
      <c r="C657" s="137"/>
      <c r="D657" s="98"/>
      <c r="E657" s="98"/>
      <c r="F657" s="98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</row>
    <row r="658" spans="1:52" ht="15.75" customHeight="1">
      <c r="A658" s="9"/>
      <c r="B658" s="9"/>
      <c r="C658" s="137"/>
      <c r="D658" s="98"/>
      <c r="E658" s="98"/>
      <c r="F658" s="98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</row>
    <row r="659" spans="1:52" ht="15.75" customHeight="1">
      <c r="A659" s="9"/>
      <c r="B659" s="9"/>
      <c r="C659" s="137"/>
      <c r="D659" s="98"/>
      <c r="E659" s="98"/>
      <c r="F659" s="98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</row>
    <row r="660" spans="1:52" ht="15.75" customHeight="1">
      <c r="A660" s="9"/>
      <c r="B660" s="9"/>
      <c r="C660" s="137"/>
      <c r="D660" s="98"/>
      <c r="E660" s="98"/>
      <c r="F660" s="98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</row>
    <row r="661" spans="1:52" ht="15.75" customHeight="1">
      <c r="A661" s="9"/>
      <c r="B661" s="9"/>
      <c r="C661" s="137"/>
      <c r="D661" s="98"/>
      <c r="E661" s="98"/>
      <c r="F661" s="98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</row>
    <row r="662" spans="1:52" ht="15.75" customHeight="1">
      <c r="A662" s="9"/>
      <c r="B662" s="9"/>
      <c r="C662" s="137"/>
      <c r="D662" s="98"/>
      <c r="E662" s="98"/>
      <c r="F662" s="98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</row>
    <row r="663" spans="1:52" ht="15.75" customHeight="1">
      <c r="A663" s="9"/>
      <c r="B663" s="9"/>
      <c r="C663" s="137"/>
      <c r="D663" s="98"/>
      <c r="E663" s="98"/>
      <c r="F663" s="98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</row>
    <row r="664" spans="1:52" ht="15.75" customHeight="1">
      <c r="A664" s="9"/>
      <c r="B664" s="9"/>
      <c r="C664" s="137"/>
      <c r="D664" s="98"/>
      <c r="E664" s="98"/>
      <c r="F664" s="98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</row>
    <row r="665" spans="1:52" ht="15.75" customHeight="1">
      <c r="A665" s="9"/>
      <c r="B665" s="9"/>
      <c r="C665" s="137"/>
      <c r="D665" s="98"/>
      <c r="E665" s="98"/>
      <c r="F665" s="98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</row>
    <row r="666" spans="1:52" ht="15.75" customHeight="1">
      <c r="A666" s="9"/>
      <c r="B666" s="9"/>
      <c r="C666" s="137"/>
      <c r="D666" s="98"/>
      <c r="E666" s="98"/>
      <c r="F666" s="98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</row>
    <row r="667" spans="1:52" ht="15.75" customHeight="1">
      <c r="A667" s="9"/>
      <c r="B667" s="9"/>
      <c r="C667" s="137"/>
      <c r="D667" s="98"/>
      <c r="E667" s="98"/>
      <c r="F667" s="98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</row>
    <row r="668" spans="1:52" ht="15.75" customHeight="1">
      <c r="A668" s="9"/>
      <c r="B668" s="9"/>
      <c r="C668" s="137"/>
      <c r="D668" s="98"/>
      <c r="E668" s="98"/>
      <c r="F668" s="98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</row>
    <row r="669" spans="1:52" ht="15.75" customHeight="1">
      <c r="A669" s="9"/>
      <c r="B669" s="9"/>
      <c r="C669" s="137"/>
      <c r="D669" s="98"/>
      <c r="E669" s="98"/>
      <c r="F669" s="98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</row>
    <row r="670" spans="1:52" ht="15.75" customHeight="1">
      <c r="A670" s="9"/>
      <c r="B670" s="9"/>
      <c r="C670" s="137"/>
      <c r="D670" s="98"/>
      <c r="E670" s="98"/>
      <c r="F670" s="98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</row>
    <row r="671" spans="1:52" ht="15.75" customHeight="1">
      <c r="A671" s="9"/>
      <c r="B671" s="9"/>
      <c r="C671" s="137"/>
      <c r="D671" s="98"/>
      <c r="E671" s="98"/>
      <c r="F671" s="98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</row>
    <row r="672" spans="1:52" ht="15.75" customHeight="1">
      <c r="A672" s="9"/>
      <c r="B672" s="9"/>
      <c r="C672" s="137"/>
      <c r="D672" s="98"/>
      <c r="E672" s="98"/>
      <c r="F672" s="98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</row>
    <row r="673" spans="1:52" ht="15.75" customHeight="1">
      <c r="A673" s="9"/>
      <c r="B673" s="9"/>
      <c r="C673" s="137"/>
      <c r="D673" s="98"/>
      <c r="E673" s="98"/>
      <c r="F673" s="98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</row>
    <row r="674" spans="1:52" ht="15.75" customHeight="1">
      <c r="A674" s="9"/>
      <c r="B674" s="9"/>
      <c r="C674" s="137"/>
      <c r="D674" s="98"/>
      <c r="E674" s="98"/>
      <c r="F674" s="98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</row>
    <row r="675" spans="1:52" ht="15.75" customHeight="1">
      <c r="A675" s="9"/>
      <c r="B675" s="9"/>
      <c r="C675" s="137"/>
      <c r="D675" s="98"/>
      <c r="E675" s="98"/>
      <c r="F675" s="98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</row>
    <row r="676" spans="1:52" ht="15.75" customHeight="1">
      <c r="A676" s="9"/>
      <c r="B676" s="9"/>
      <c r="C676" s="137"/>
      <c r="D676" s="98"/>
      <c r="E676" s="98"/>
      <c r="F676" s="98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</row>
    <row r="677" spans="1:52" ht="15.75" customHeight="1">
      <c r="A677" s="9"/>
      <c r="B677" s="9"/>
      <c r="C677" s="137"/>
      <c r="D677" s="98"/>
      <c r="E677" s="98"/>
      <c r="F677" s="98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</row>
    <row r="678" spans="1:52" ht="15.75" customHeight="1">
      <c r="A678" s="9"/>
      <c r="B678" s="9"/>
      <c r="C678" s="137"/>
      <c r="D678" s="98"/>
      <c r="E678" s="98"/>
      <c r="F678" s="98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</row>
    <row r="679" spans="1:52" ht="15.75" customHeight="1">
      <c r="A679" s="9"/>
      <c r="B679" s="9"/>
      <c r="C679" s="137"/>
      <c r="D679" s="98"/>
      <c r="E679" s="98"/>
      <c r="F679" s="98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</row>
    <row r="680" spans="1:52" ht="15.75" customHeight="1">
      <c r="A680" s="9"/>
      <c r="B680" s="9"/>
      <c r="C680" s="137"/>
      <c r="D680" s="98"/>
      <c r="E680" s="98"/>
      <c r="F680" s="98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</row>
    <row r="681" spans="1:52" ht="15.75" customHeight="1">
      <c r="A681" s="9"/>
      <c r="B681" s="9"/>
      <c r="C681" s="137"/>
      <c r="D681" s="98"/>
      <c r="E681" s="98"/>
      <c r="F681" s="98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</row>
    <row r="682" spans="1:52" ht="15.75" customHeight="1">
      <c r="A682" s="9"/>
      <c r="B682" s="9"/>
      <c r="C682" s="137"/>
      <c r="D682" s="98"/>
      <c r="E682" s="98"/>
      <c r="F682" s="98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</row>
    <row r="683" spans="1:52" ht="15.75" customHeight="1">
      <c r="A683" s="9"/>
      <c r="B683" s="9"/>
      <c r="C683" s="137"/>
      <c r="D683" s="98"/>
      <c r="E683" s="98"/>
      <c r="F683" s="98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</row>
    <row r="684" spans="1:52" ht="15.75" customHeight="1">
      <c r="A684" s="9"/>
      <c r="B684" s="9"/>
      <c r="C684" s="137"/>
      <c r="D684" s="98"/>
      <c r="E684" s="98"/>
      <c r="F684" s="98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</row>
    <row r="685" spans="1:52" ht="15.75" customHeight="1">
      <c r="A685" s="9"/>
      <c r="B685" s="9"/>
      <c r="C685" s="137"/>
      <c r="D685" s="98"/>
      <c r="E685" s="98"/>
      <c r="F685" s="98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</row>
    <row r="686" spans="1:52" ht="15.75" customHeight="1">
      <c r="A686" s="9"/>
      <c r="B686" s="9"/>
      <c r="C686" s="137"/>
      <c r="D686" s="98"/>
      <c r="E686" s="98"/>
      <c r="F686" s="98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</row>
    <row r="687" spans="1:52" ht="15.75" customHeight="1">
      <c r="A687" s="9"/>
      <c r="B687" s="9"/>
      <c r="C687" s="137"/>
      <c r="D687" s="98"/>
      <c r="E687" s="98"/>
      <c r="F687" s="98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</row>
    <row r="688" spans="1:52" ht="15.75" customHeight="1">
      <c r="A688" s="9"/>
      <c r="B688" s="9"/>
      <c r="C688" s="137"/>
      <c r="D688" s="98"/>
      <c r="E688" s="98"/>
      <c r="F688" s="98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</row>
    <row r="689" spans="1:52" ht="15.75" customHeight="1">
      <c r="A689" s="9"/>
      <c r="B689" s="9"/>
      <c r="C689" s="137"/>
      <c r="D689" s="98"/>
      <c r="E689" s="98"/>
      <c r="F689" s="98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</row>
    <row r="690" spans="1:52" ht="15.75" customHeight="1">
      <c r="A690" s="9"/>
      <c r="B690" s="9"/>
      <c r="C690" s="137"/>
      <c r="D690" s="98"/>
      <c r="E690" s="98"/>
      <c r="F690" s="98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</row>
    <row r="691" spans="1:52" ht="15.75" customHeight="1">
      <c r="A691" s="9"/>
      <c r="B691" s="9"/>
      <c r="C691" s="137"/>
      <c r="D691" s="98"/>
      <c r="E691" s="98"/>
      <c r="F691" s="98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</row>
    <row r="692" spans="1:52" ht="15.75" customHeight="1">
      <c r="A692" s="9"/>
      <c r="B692" s="9"/>
      <c r="C692" s="137"/>
      <c r="D692" s="98"/>
      <c r="E692" s="98"/>
      <c r="F692" s="98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</row>
    <row r="693" spans="1:52" ht="15.75" customHeight="1">
      <c r="A693" s="9"/>
      <c r="B693" s="9"/>
      <c r="C693" s="137"/>
      <c r="D693" s="98"/>
      <c r="E693" s="98"/>
      <c r="F693" s="98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</row>
    <row r="694" spans="1:52" ht="15.75" customHeight="1">
      <c r="A694" s="9"/>
      <c r="B694" s="9"/>
      <c r="C694" s="137"/>
      <c r="D694" s="98"/>
      <c r="E694" s="98"/>
      <c r="F694" s="98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</row>
    <row r="695" spans="1:52" ht="15.75" customHeight="1">
      <c r="A695" s="9"/>
      <c r="B695" s="9"/>
      <c r="C695" s="137"/>
      <c r="D695" s="98"/>
      <c r="E695" s="98"/>
      <c r="F695" s="98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</row>
    <row r="696" spans="1:52" ht="15.75" customHeight="1">
      <c r="A696" s="9"/>
      <c r="B696" s="9"/>
      <c r="C696" s="137"/>
      <c r="D696" s="98"/>
      <c r="E696" s="98"/>
      <c r="F696" s="98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</row>
    <row r="697" spans="1:52" ht="15.75" customHeight="1">
      <c r="A697" s="9"/>
      <c r="B697" s="9"/>
      <c r="C697" s="137"/>
      <c r="D697" s="98"/>
      <c r="E697" s="98"/>
      <c r="F697" s="98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</row>
    <row r="698" spans="1:52" ht="15.75" customHeight="1">
      <c r="A698" s="9"/>
      <c r="B698" s="9"/>
      <c r="C698" s="137"/>
      <c r="D698" s="98"/>
      <c r="E698" s="98"/>
      <c r="F698" s="98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</row>
    <row r="699" spans="1:52" ht="15.75" customHeight="1">
      <c r="A699" s="9"/>
      <c r="B699" s="9"/>
      <c r="C699" s="137"/>
      <c r="D699" s="98"/>
      <c r="E699" s="98"/>
      <c r="F699" s="98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</row>
    <row r="700" spans="1:52" ht="15.75" customHeight="1">
      <c r="A700" s="9"/>
      <c r="B700" s="9"/>
      <c r="C700" s="137"/>
      <c r="D700" s="98"/>
      <c r="E700" s="98"/>
      <c r="F700" s="98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</row>
    <row r="701" spans="1:52" ht="15.75" customHeight="1">
      <c r="A701" s="9"/>
      <c r="B701" s="9"/>
      <c r="C701" s="137"/>
      <c r="D701" s="98"/>
      <c r="E701" s="98"/>
      <c r="F701" s="98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</row>
    <row r="702" spans="1:52" ht="15.75" customHeight="1">
      <c r="A702" s="9"/>
      <c r="B702" s="9"/>
      <c r="C702" s="137"/>
      <c r="D702" s="98"/>
      <c r="E702" s="98"/>
      <c r="F702" s="98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</row>
    <row r="703" spans="1:52" ht="15.75" customHeight="1">
      <c r="A703" s="9"/>
      <c r="B703" s="9"/>
      <c r="C703" s="137"/>
      <c r="D703" s="98"/>
      <c r="E703" s="98"/>
      <c r="F703" s="98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</row>
    <row r="704" spans="1:52" ht="15.75" customHeight="1">
      <c r="A704" s="9"/>
      <c r="B704" s="9"/>
      <c r="C704" s="137"/>
      <c r="D704" s="98"/>
      <c r="E704" s="98"/>
      <c r="F704" s="98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</row>
    <row r="705" spans="1:52" ht="15.75" customHeight="1">
      <c r="A705" s="9"/>
      <c r="B705" s="9"/>
      <c r="C705" s="137"/>
      <c r="D705" s="98"/>
      <c r="E705" s="98"/>
      <c r="F705" s="98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</row>
    <row r="706" spans="1:52" ht="15.75" customHeight="1">
      <c r="A706" s="9"/>
      <c r="B706" s="9"/>
      <c r="C706" s="137"/>
      <c r="D706" s="98"/>
      <c r="E706" s="98"/>
      <c r="F706" s="98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</row>
    <row r="707" spans="1:52" ht="15.75" customHeight="1">
      <c r="A707" s="9"/>
      <c r="B707" s="9"/>
      <c r="C707" s="137"/>
      <c r="D707" s="98"/>
      <c r="E707" s="98"/>
      <c r="F707" s="98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</row>
    <row r="708" spans="1:52" ht="15.75" customHeight="1">
      <c r="A708" s="9"/>
      <c r="B708" s="9"/>
      <c r="C708" s="137"/>
      <c r="D708" s="98"/>
      <c r="E708" s="98"/>
      <c r="F708" s="98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</row>
    <row r="709" spans="1:52" ht="15.75" customHeight="1">
      <c r="A709" s="9"/>
      <c r="B709" s="9"/>
      <c r="C709" s="137"/>
      <c r="D709" s="98"/>
      <c r="E709" s="98"/>
      <c r="F709" s="98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</row>
    <row r="710" spans="1:52" ht="15.75" customHeight="1">
      <c r="A710" s="9"/>
      <c r="B710" s="9"/>
      <c r="C710" s="137"/>
      <c r="D710" s="98"/>
      <c r="E710" s="98"/>
      <c r="F710" s="98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</row>
    <row r="711" spans="1:52" ht="15.75" customHeight="1">
      <c r="A711" s="9"/>
      <c r="B711" s="9"/>
      <c r="C711" s="137"/>
      <c r="D711" s="98"/>
      <c r="E711" s="98"/>
      <c r="F711" s="98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</row>
    <row r="712" spans="1:52" ht="15.75" customHeight="1">
      <c r="A712" s="9"/>
      <c r="B712" s="9"/>
      <c r="C712" s="137"/>
      <c r="D712" s="98"/>
      <c r="E712" s="98"/>
      <c r="F712" s="98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</row>
    <row r="713" spans="1:52" ht="15.75" customHeight="1">
      <c r="A713" s="9"/>
      <c r="B713" s="9"/>
      <c r="C713" s="137"/>
      <c r="D713" s="98"/>
      <c r="E713" s="98"/>
      <c r="F713" s="98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</row>
    <row r="714" spans="1:52" ht="15.75" customHeight="1">
      <c r="A714" s="9"/>
      <c r="B714" s="9"/>
      <c r="C714" s="137"/>
      <c r="D714" s="98"/>
      <c r="E714" s="98"/>
      <c r="F714" s="98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</row>
    <row r="715" spans="1:52" ht="15.75" customHeight="1">
      <c r="A715" s="9"/>
      <c r="B715" s="9"/>
      <c r="C715" s="137"/>
      <c r="D715" s="98"/>
      <c r="E715" s="98"/>
      <c r="F715" s="98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</row>
    <row r="716" spans="1:52" ht="15.75" customHeight="1">
      <c r="A716" s="9"/>
      <c r="B716" s="9"/>
      <c r="C716" s="137"/>
      <c r="D716" s="98"/>
      <c r="E716" s="98"/>
      <c r="F716" s="98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</row>
    <row r="717" spans="1:52" ht="15.75" customHeight="1">
      <c r="A717" s="9"/>
      <c r="B717" s="9"/>
      <c r="C717" s="137"/>
      <c r="D717" s="98"/>
      <c r="E717" s="98"/>
      <c r="F717" s="98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</row>
    <row r="718" spans="1:52" ht="15.75" customHeight="1">
      <c r="A718" s="9"/>
      <c r="B718" s="9"/>
      <c r="C718" s="137"/>
      <c r="D718" s="98"/>
      <c r="E718" s="98"/>
      <c r="F718" s="98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</row>
    <row r="719" spans="1:52" ht="15.75" customHeight="1">
      <c r="A719" s="9"/>
      <c r="B719" s="9"/>
      <c r="C719" s="137"/>
      <c r="D719" s="98"/>
      <c r="E719" s="98"/>
      <c r="F719" s="98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</row>
    <row r="720" spans="1:52" ht="15.75" customHeight="1">
      <c r="A720" s="9"/>
      <c r="B720" s="9"/>
      <c r="C720" s="137"/>
      <c r="D720" s="98"/>
      <c r="E720" s="98"/>
      <c r="F720" s="98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</row>
    <row r="721" spans="1:52" ht="15.75" customHeight="1">
      <c r="A721" s="9"/>
      <c r="B721" s="9"/>
      <c r="C721" s="137"/>
      <c r="D721" s="98"/>
      <c r="E721" s="98"/>
      <c r="F721" s="98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</row>
    <row r="722" spans="1:52" ht="15.75" customHeight="1">
      <c r="A722" s="9"/>
      <c r="B722" s="9"/>
      <c r="C722" s="137"/>
      <c r="D722" s="98"/>
      <c r="E722" s="98"/>
      <c r="F722" s="98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</row>
    <row r="723" spans="1:52" ht="15.75" customHeight="1">
      <c r="A723" s="9"/>
      <c r="B723" s="9"/>
      <c r="C723" s="137"/>
      <c r="D723" s="98"/>
      <c r="E723" s="98"/>
      <c r="F723" s="98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</row>
    <row r="724" spans="1:52" ht="15.75" customHeight="1">
      <c r="A724" s="9"/>
      <c r="B724" s="9"/>
      <c r="C724" s="137"/>
      <c r="D724" s="98"/>
      <c r="E724" s="98"/>
      <c r="F724" s="98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</row>
    <row r="725" spans="1:52" ht="15.75" customHeight="1">
      <c r="A725" s="9"/>
      <c r="B725" s="9"/>
      <c r="C725" s="137"/>
      <c r="D725" s="98"/>
      <c r="E725" s="98"/>
      <c r="F725" s="98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</row>
    <row r="726" spans="1:52" ht="15.75" customHeight="1">
      <c r="A726" s="9"/>
      <c r="B726" s="9"/>
      <c r="C726" s="137"/>
      <c r="D726" s="98"/>
      <c r="E726" s="98"/>
      <c r="F726" s="98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</row>
    <row r="727" spans="1:52" ht="15.75" customHeight="1">
      <c r="A727" s="9"/>
      <c r="B727" s="9"/>
      <c r="C727" s="137"/>
      <c r="D727" s="98"/>
      <c r="E727" s="98"/>
      <c r="F727" s="98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</row>
    <row r="728" spans="1:52" ht="15.75" customHeight="1">
      <c r="A728" s="9"/>
      <c r="B728" s="9"/>
      <c r="C728" s="137"/>
      <c r="D728" s="98"/>
      <c r="E728" s="98"/>
      <c r="F728" s="98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</row>
    <row r="729" spans="1:52" ht="15.75" customHeight="1">
      <c r="A729" s="9"/>
      <c r="B729" s="9"/>
      <c r="C729" s="137"/>
      <c r="D729" s="98"/>
      <c r="E729" s="98"/>
      <c r="F729" s="98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</row>
    <row r="730" spans="1:52" ht="15.75" customHeight="1">
      <c r="A730" s="9"/>
      <c r="B730" s="9"/>
      <c r="C730" s="137"/>
      <c r="D730" s="98"/>
      <c r="E730" s="98"/>
      <c r="F730" s="98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</row>
    <row r="731" spans="1:52" ht="15.75" customHeight="1">
      <c r="A731" s="9"/>
      <c r="B731" s="9"/>
      <c r="C731" s="137"/>
      <c r="D731" s="98"/>
      <c r="E731" s="98"/>
      <c r="F731" s="98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</row>
    <row r="732" spans="1:52" ht="15.75" customHeight="1">
      <c r="A732" s="9"/>
      <c r="B732" s="9"/>
      <c r="C732" s="137"/>
      <c r="D732" s="98"/>
      <c r="E732" s="98"/>
      <c r="F732" s="98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</row>
    <row r="733" spans="1:52" ht="15.75" customHeight="1">
      <c r="A733" s="9"/>
      <c r="B733" s="9"/>
      <c r="C733" s="137"/>
      <c r="D733" s="98"/>
      <c r="E733" s="98"/>
      <c r="F733" s="98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</row>
    <row r="734" spans="1:52" ht="15.75" customHeight="1">
      <c r="A734" s="9"/>
      <c r="B734" s="9"/>
      <c r="C734" s="137"/>
      <c r="D734" s="98"/>
      <c r="E734" s="98"/>
      <c r="F734" s="98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</row>
    <row r="735" spans="1:52" ht="15.75" customHeight="1">
      <c r="A735" s="9"/>
      <c r="B735" s="9"/>
      <c r="C735" s="137"/>
      <c r="D735" s="98"/>
      <c r="E735" s="98"/>
      <c r="F735" s="98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</row>
    <row r="736" spans="1:52" ht="15.75" customHeight="1">
      <c r="A736" s="9"/>
      <c r="B736" s="9"/>
      <c r="C736" s="137"/>
      <c r="D736" s="98"/>
      <c r="E736" s="98"/>
      <c r="F736" s="98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</row>
    <row r="737" spans="1:52" ht="15.75" customHeight="1">
      <c r="A737" s="9"/>
      <c r="B737" s="9"/>
      <c r="C737" s="137"/>
      <c r="D737" s="98"/>
      <c r="E737" s="98"/>
      <c r="F737" s="98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</row>
    <row r="738" spans="1:52" ht="15.75" customHeight="1">
      <c r="A738" s="9"/>
      <c r="B738" s="9"/>
      <c r="C738" s="137"/>
      <c r="D738" s="98"/>
      <c r="E738" s="98"/>
      <c r="F738" s="98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</row>
    <row r="739" spans="1:52" ht="15.75" customHeight="1">
      <c r="A739" s="9"/>
      <c r="B739" s="9"/>
      <c r="C739" s="137"/>
      <c r="D739" s="98"/>
      <c r="E739" s="98"/>
      <c r="F739" s="98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</row>
    <row r="740" spans="1:52" ht="15.75" customHeight="1">
      <c r="A740" s="9"/>
      <c r="B740" s="9"/>
      <c r="C740" s="137"/>
      <c r="D740" s="98"/>
      <c r="E740" s="98"/>
      <c r="F740" s="98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</row>
    <row r="741" spans="1:52" ht="15.75" customHeight="1">
      <c r="A741" s="9"/>
      <c r="B741" s="9"/>
      <c r="C741" s="137"/>
      <c r="D741" s="98"/>
      <c r="E741" s="98"/>
      <c r="F741" s="98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</row>
    <row r="742" spans="1:52" ht="15.75" customHeight="1">
      <c r="A742" s="9"/>
      <c r="B742" s="9"/>
      <c r="C742" s="137"/>
      <c r="D742" s="98"/>
      <c r="E742" s="98"/>
      <c r="F742" s="98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</row>
    <row r="743" spans="1:52" ht="15.75" customHeight="1">
      <c r="A743" s="9"/>
      <c r="B743" s="9"/>
      <c r="C743" s="137"/>
      <c r="D743" s="98"/>
      <c r="E743" s="98"/>
      <c r="F743" s="98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</row>
    <row r="744" spans="1:52" ht="15.75" customHeight="1">
      <c r="A744" s="9"/>
      <c r="B744" s="9"/>
      <c r="C744" s="137"/>
      <c r="D744" s="98"/>
      <c r="E744" s="98"/>
      <c r="F744" s="98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</row>
    <row r="745" spans="1:52" ht="15.75" customHeight="1">
      <c r="A745" s="9"/>
      <c r="B745" s="9"/>
      <c r="C745" s="137"/>
      <c r="D745" s="98"/>
      <c r="E745" s="98"/>
      <c r="F745" s="98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</row>
    <row r="746" spans="1:52" ht="15.75" customHeight="1">
      <c r="A746" s="9"/>
      <c r="B746" s="9"/>
      <c r="C746" s="137"/>
      <c r="D746" s="98"/>
      <c r="E746" s="98"/>
      <c r="F746" s="98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</row>
    <row r="747" spans="1:52" ht="15.75" customHeight="1">
      <c r="A747" s="9"/>
      <c r="B747" s="9"/>
      <c r="C747" s="137"/>
      <c r="D747" s="98"/>
      <c r="E747" s="98"/>
      <c r="F747" s="98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</row>
    <row r="748" spans="1:52" ht="15.75" customHeight="1">
      <c r="A748" s="9"/>
      <c r="B748" s="9"/>
      <c r="C748" s="137"/>
      <c r="D748" s="98"/>
      <c r="E748" s="98"/>
      <c r="F748" s="98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</row>
    <row r="749" spans="1:52" ht="15.75" customHeight="1">
      <c r="A749" s="9"/>
      <c r="B749" s="9"/>
      <c r="C749" s="137"/>
      <c r="D749" s="98"/>
      <c r="E749" s="98"/>
      <c r="F749" s="98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</row>
    <row r="750" spans="1:52" ht="15.75" customHeight="1">
      <c r="A750" s="9"/>
      <c r="B750" s="9"/>
      <c r="C750" s="137"/>
      <c r="D750" s="98"/>
      <c r="E750" s="98"/>
      <c r="F750" s="98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</row>
    <row r="751" spans="1:52" ht="15.75" customHeight="1">
      <c r="A751" s="9"/>
      <c r="B751" s="9"/>
      <c r="C751" s="137"/>
      <c r="D751" s="98"/>
      <c r="E751" s="98"/>
      <c r="F751" s="98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</row>
    <row r="752" spans="1:52" ht="15.75" customHeight="1">
      <c r="A752" s="9"/>
      <c r="B752" s="9"/>
      <c r="C752" s="137"/>
      <c r="D752" s="98"/>
      <c r="E752" s="98"/>
      <c r="F752" s="98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</row>
    <row r="753" spans="1:52" ht="15.75" customHeight="1">
      <c r="A753" s="9"/>
      <c r="B753" s="9"/>
      <c r="C753" s="137"/>
      <c r="D753" s="98"/>
      <c r="E753" s="98"/>
      <c r="F753" s="98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</row>
    <row r="754" spans="1:52" ht="15.75" customHeight="1">
      <c r="A754" s="9"/>
      <c r="B754" s="9"/>
      <c r="C754" s="137"/>
      <c r="D754" s="98"/>
      <c r="E754" s="98"/>
      <c r="F754" s="98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</row>
    <row r="755" spans="1:52" ht="15.75" customHeight="1">
      <c r="A755" s="9"/>
      <c r="B755" s="9"/>
      <c r="C755" s="137"/>
      <c r="D755" s="98"/>
      <c r="E755" s="98"/>
      <c r="F755" s="98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</row>
    <row r="756" spans="1:52" ht="15.75" customHeight="1">
      <c r="A756" s="9"/>
      <c r="B756" s="9"/>
      <c r="C756" s="137"/>
      <c r="D756" s="98"/>
      <c r="E756" s="98"/>
      <c r="F756" s="98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</row>
    <row r="757" spans="1:52" ht="15.75" customHeight="1">
      <c r="A757" s="9"/>
      <c r="B757" s="9"/>
      <c r="C757" s="137"/>
      <c r="D757" s="98"/>
      <c r="E757" s="98"/>
      <c r="F757" s="98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</row>
    <row r="758" spans="1:52" ht="15.75" customHeight="1">
      <c r="A758" s="9"/>
      <c r="B758" s="9"/>
      <c r="C758" s="137"/>
      <c r="D758" s="98"/>
      <c r="E758" s="98"/>
      <c r="F758" s="98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</row>
    <row r="759" spans="1:52" ht="15.75" customHeight="1">
      <c r="A759" s="9"/>
      <c r="B759" s="9"/>
      <c r="C759" s="137"/>
      <c r="D759" s="98"/>
      <c r="E759" s="98"/>
      <c r="F759" s="98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</row>
    <row r="760" spans="1:52" ht="15.75" customHeight="1">
      <c r="A760" s="9"/>
      <c r="B760" s="9"/>
      <c r="C760" s="137"/>
      <c r="D760" s="98"/>
      <c r="E760" s="98"/>
      <c r="F760" s="98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</row>
    <row r="761" spans="1:52" ht="15.75" customHeight="1">
      <c r="A761" s="9"/>
      <c r="B761" s="9"/>
      <c r="C761" s="137"/>
      <c r="D761" s="98"/>
      <c r="E761" s="98"/>
      <c r="F761" s="98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</row>
    <row r="762" spans="1:52" ht="15.75" customHeight="1">
      <c r="A762" s="9"/>
      <c r="B762" s="9"/>
      <c r="C762" s="137"/>
      <c r="D762" s="98"/>
      <c r="E762" s="98"/>
      <c r="F762" s="98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</row>
    <row r="763" spans="1:52" ht="15.75" customHeight="1">
      <c r="A763" s="9"/>
      <c r="B763" s="9"/>
      <c r="C763" s="137"/>
      <c r="D763" s="98"/>
      <c r="E763" s="98"/>
      <c r="F763" s="98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</row>
    <row r="764" spans="1:52" ht="15.75" customHeight="1">
      <c r="A764" s="9"/>
      <c r="B764" s="9"/>
      <c r="C764" s="137"/>
      <c r="D764" s="98"/>
      <c r="E764" s="98"/>
      <c r="F764" s="98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</row>
    <row r="765" spans="1:52" ht="15.75" customHeight="1">
      <c r="A765" s="9"/>
      <c r="B765" s="9"/>
      <c r="C765" s="137"/>
      <c r="D765" s="98"/>
      <c r="E765" s="98"/>
      <c r="F765" s="98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</row>
    <row r="766" spans="1:52" ht="15.75" customHeight="1">
      <c r="A766" s="9"/>
      <c r="B766" s="9"/>
      <c r="C766" s="137"/>
      <c r="D766" s="98"/>
      <c r="E766" s="98"/>
      <c r="F766" s="98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</row>
    <row r="767" spans="1:52" ht="15.75" customHeight="1">
      <c r="A767" s="9"/>
      <c r="B767" s="9"/>
      <c r="C767" s="137"/>
      <c r="D767" s="98"/>
      <c r="E767" s="98"/>
      <c r="F767" s="98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</row>
    <row r="768" spans="1:52" ht="15.75" customHeight="1">
      <c r="A768" s="9"/>
      <c r="B768" s="9"/>
      <c r="C768" s="137"/>
      <c r="D768" s="98"/>
      <c r="E768" s="98"/>
      <c r="F768" s="98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</row>
    <row r="769" spans="1:52" ht="15.75" customHeight="1">
      <c r="A769" s="9"/>
      <c r="B769" s="9"/>
      <c r="C769" s="137"/>
      <c r="D769" s="98"/>
      <c r="E769" s="98"/>
      <c r="F769" s="98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</row>
    <row r="770" spans="1:52" ht="15.75" customHeight="1">
      <c r="A770" s="9"/>
      <c r="B770" s="9"/>
      <c r="C770" s="137"/>
      <c r="D770" s="98"/>
      <c r="E770" s="98"/>
      <c r="F770" s="98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</row>
    <row r="771" spans="1:52" ht="15.75" customHeight="1">
      <c r="A771" s="9"/>
      <c r="B771" s="9"/>
      <c r="C771" s="137"/>
      <c r="D771" s="98"/>
      <c r="E771" s="98"/>
      <c r="F771" s="98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</row>
    <row r="772" spans="1:52" ht="15.75" customHeight="1">
      <c r="A772" s="9"/>
      <c r="B772" s="9"/>
      <c r="C772" s="137"/>
      <c r="D772" s="98"/>
      <c r="E772" s="98"/>
      <c r="F772" s="98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</row>
    <row r="773" spans="1:52" ht="15.75" customHeight="1">
      <c r="A773" s="9"/>
      <c r="B773" s="9"/>
      <c r="C773" s="137"/>
      <c r="D773" s="98"/>
      <c r="E773" s="98"/>
      <c r="F773" s="98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</row>
    <row r="774" spans="1:52" ht="15.75" customHeight="1">
      <c r="A774" s="9"/>
      <c r="B774" s="9"/>
      <c r="C774" s="137"/>
      <c r="D774" s="98"/>
      <c r="E774" s="98"/>
      <c r="F774" s="98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</row>
    <row r="775" spans="1:52" ht="15.75" customHeight="1">
      <c r="A775" s="9"/>
      <c r="B775" s="9"/>
      <c r="C775" s="137"/>
      <c r="D775" s="98"/>
      <c r="E775" s="98"/>
      <c r="F775" s="98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</row>
    <row r="776" spans="1:52" ht="15.75" customHeight="1">
      <c r="A776" s="9"/>
      <c r="B776" s="9"/>
      <c r="C776" s="137"/>
      <c r="D776" s="98"/>
      <c r="E776" s="98"/>
      <c r="F776" s="98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</row>
    <row r="777" spans="1:52" ht="15.75" customHeight="1">
      <c r="A777" s="9"/>
      <c r="B777" s="9"/>
      <c r="C777" s="137"/>
      <c r="D777" s="98"/>
      <c r="E777" s="98"/>
      <c r="F777" s="98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</row>
    <row r="778" spans="1:52" ht="15.75" customHeight="1">
      <c r="A778" s="9"/>
      <c r="B778" s="9"/>
      <c r="C778" s="137"/>
      <c r="D778" s="98"/>
      <c r="E778" s="98"/>
      <c r="F778" s="98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</row>
    <row r="779" spans="1:52" ht="15.75" customHeight="1">
      <c r="A779" s="9"/>
      <c r="B779" s="9"/>
      <c r="C779" s="137"/>
      <c r="D779" s="98"/>
      <c r="E779" s="98"/>
      <c r="F779" s="98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</row>
    <row r="780" spans="1:52" ht="15.75" customHeight="1">
      <c r="A780" s="9"/>
      <c r="B780" s="9"/>
      <c r="C780" s="137"/>
      <c r="D780" s="98"/>
      <c r="E780" s="98"/>
      <c r="F780" s="98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</row>
    <row r="781" spans="1:52" ht="15.75" customHeight="1">
      <c r="A781" s="9"/>
      <c r="B781" s="9"/>
      <c r="C781" s="137"/>
      <c r="D781" s="98"/>
      <c r="E781" s="98"/>
      <c r="F781" s="98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</row>
    <row r="782" spans="1:52" ht="15.75" customHeight="1">
      <c r="A782" s="9"/>
      <c r="B782" s="9"/>
      <c r="C782" s="137"/>
      <c r="D782" s="98"/>
      <c r="E782" s="98"/>
      <c r="F782" s="98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</row>
    <row r="783" spans="1:52" ht="15.75" customHeight="1">
      <c r="A783" s="9"/>
      <c r="B783" s="9"/>
      <c r="C783" s="137"/>
      <c r="D783" s="98"/>
      <c r="E783" s="98"/>
      <c r="F783" s="98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</row>
    <row r="784" spans="1:52" ht="15.75" customHeight="1">
      <c r="A784" s="9"/>
      <c r="B784" s="9"/>
      <c r="C784" s="137"/>
      <c r="D784" s="98"/>
      <c r="E784" s="98"/>
      <c r="F784" s="98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</row>
    <row r="785" spans="1:52" ht="15.75" customHeight="1">
      <c r="A785" s="9"/>
      <c r="B785" s="9"/>
      <c r="C785" s="137"/>
      <c r="D785" s="98"/>
      <c r="E785" s="98"/>
      <c r="F785" s="98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</row>
    <row r="786" spans="1:52" ht="15.75" customHeight="1">
      <c r="A786" s="9"/>
      <c r="B786" s="9"/>
      <c r="C786" s="137"/>
      <c r="D786" s="98"/>
      <c r="E786" s="98"/>
      <c r="F786" s="98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</row>
    <row r="787" spans="1:52" ht="15.75" customHeight="1">
      <c r="A787" s="9"/>
      <c r="B787" s="9"/>
      <c r="C787" s="137"/>
      <c r="D787" s="98"/>
      <c r="E787" s="98"/>
      <c r="F787" s="98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</row>
    <row r="788" spans="1:52" ht="15.75" customHeight="1">
      <c r="A788" s="9"/>
      <c r="B788" s="9"/>
      <c r="C788" s="137"/>
      <c r="D788" s="98"/>
      <c r="E788" s="98"/>
      <c r="F788" s="98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</row>
    <row r="789" spans="1:52" ht="15.75" customHeight="1">
      <c r="A789" s="9"/>
      <c r="B789" s="9"/>
      <c r="C789" s="137"/>
      <c r="D789" s="98"/>
      <c r="E789" s="98"/>
      <c r="F789" s="98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</row>
    <row r="790" spans="1:52" ht="15.75" customHeight="1">
      <c r="A790" s="9"/>
      <c r="B790" s="9"/>
      <c r="C790" s="137"/>
      <c r="D790" s="98"/>
      <c r="E790" s="98"/>
      <c r="F790" s="98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</row>
    <row r="791" spans="1:52" ht="15.75" customHeight="1">
      <c r="A791" s="9"/>
      <c r="B791" s="9"/>
      <c r="C791" s="137"/>
      <c r="D791" s="98"/>
      <c r="E791" s="98"/>
      <c r="F791" s="98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</row>
    <row r="792" spans="1:52" ht="15.75" customHeight="1">
      <c r="A792" s="9"/>
      <c r="B792" s="9"/>
      <c r="C792" s="137"/>
      <c r="D792" s="98"/>
      <c r="E792" s="98"/>
      <c r="F792" s="98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</row>
    <row r="793" spans="1:52" ht="15.75" customHeight="1">
      <c r="A793" s="9"/>
      <c r="B793" s="9"/>
      <c r="C793" s="137"/>
      <c r="D793" s="98"/>
      <c r="E793" s="98"/>
      <c r="F793" s="98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</row>
    <row r="794" spans="1:52" ht="15.75" customHeight="1">
      <c r="A794" s="9"/>
      <c r="B794" s="9"/>
      <c r="C794" s="137"/>
      <c r="D794" s="98"/>
      <c r="E794" s="98"/>
      <c r="F794" s="98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</row>
    <row r="795" spans="1:52" ht="15.75" customHeight="1">
      <c r="A795" s="9"/>
      <c r="B795" s="9"/>
      <c r="C795" s="137"/>
      <c r="D795" s="98"/>
      <c r="E795" s="98"/>
      <c r="F795" s="98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</row>
    <row r="796" spans="1:52" ht="15.75" customHeight="1">
      <c r="A796" s="9"/>
      <c r="B796" s="9"/>
      <c r="C796" s="137"/>
      <c r="D796" s="98"/>
      <c r="E796" s="98"/>
      <c r="F796" s="98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</row>
    <row r="797" spans="1:52" ht="15.75" customHeight="1">
      <c r="A797" s="9"/>
      <c r="B797" s="9"/>
      <c r="C797" s="137"/>
      <c r="D797" s="98"/>
      <c r="E797" s="98"/>
      <c r="F797" s="98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</row>
    <row r="798" spans="1:52" ht="15.75" customHeight="1">
      <c r="A798" s="9"/>
      <c r="B798" s="9"/>
      <c r="C798" s="137"/>
      <c r="D798" s="98"/>
      <c r="E798" s="98"/>
      <c r="F798" s="98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</row>
    <row r="799" spans="1:52" ht="15.75" customHeight="1">
      <c r="A799" s="9"/>
      <c r="B799" s="9"/>
      <c r="C799" s="137"/>
      <c r="D799" s="98"/>
      <c r="E799" s="98"/>
      <c r="F799" s="98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</row>
    <row r="800" spans="1:52" ht="15.75" customHeight="1">
      <c r="A800" s="9"/>
      <c r="B800" s="9"/>
      <c r="C800" s="137"/>
      <c r="D800" s="98"/>
      <c r="E800" s="98"/>
      <c r="F800" s="98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</row>
    <row r="801" spans="1:52" ht="15.75" customHeight="1">
      <c r="A801" s="9"/>
      <c r="B801" s="9"/>
      <c r="C801" s="137"/>
      <c r="D801" s="98"/>
      <c r="E801" s="98"/>
      <c r="F801" s="98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</row>
    <row r="802" spans="1:52" ht="15.75" customHeight="1">
      <c r="A802" s="9"/>
      <c r="B802" s="9"/>
      <c r="C802" s="137"/>
      <c r="D802" s="98"/>
      <c r="E802" s="98"/>
      <c r="F802" s="98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</row>
    <row r="803" spans="1:52" ht="15.75" customHeight="1">
      <c r="A803" s="9"/>
      <c r="B803" s="9"/>
      <c r="C803" s="137"/>
      <c r="D803" s="98"/>
      <c r="E803" s="98"/>
      <c r="F803" s="98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</row>
    <row r="804" spans="1:52" ht="15.75" customHeight="1">
      <c r="A804" s="9"/>
      <c r="B804" s="9"/>
      <c r="C804" s="137"/>
      <c r="D804" s="98"/>
      <c r="E804" s="98"/>
      <c r="F804" s="98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</row>
    <row r="805" spans="1:52" ht="15.75" customHeight="1">
      <c r="A805" s="9"/>
      <c r="B805" s="9"/>
      <c r="C805" s="137"/>
      <c r="D805" s="98"/>
      <c r="E805" s="98"/>
      <c r="F805" s="98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</row>
    <row r="806" spans="1:52" ht="15.75" customHeight="1">
      <c r="A806" s="9"/>
      <c r="B806" s="9"/>
      <c r="C806" s="137"/>
      <c r="D806" s="98"/>
      <c r="E806" s="98"/>
      <c r="F806" s="98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</row>
    <row r="807" spans="1:52" ht="15.75" customHeight="1">
      <c r="A807" s="9"/>
      <c r="B807" s="9"/>
      <c r="C807" s="137"/>
      <c r="D807" s="98"/>
      <c r="E807" s="98"/>
      <c r="F807" s="98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</row>
    <row r="808" spans="1:52" ht="15.75" customHeight="1">
      <c r="A808" s="9"/>
      <c r="B808" s="9"/>
      <c r="C808" s="137"/>
      <c r="D808" s="98"/>
      <c r="E808" s="98"/>
      <c r="F808" s="98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</row>
    <row r="809" spans="1:52" ht="15.75" customHeight="1">
      <c r="A809" s="9"/>
      <c r="B809" s="9"/>
      <c r="C809" s="137"/>
      <c r="D809" s="98"/>
      <c r="E809" s="98"/>
      <c r="F809" s="98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</row>
    <row r="810" spans="1:52" ht="15.75" customHeight="1">
      <c r="A810" s="9"/>
      <c r="B810" s="9"/>
      <c r="C810" s="137"/>
      <c r="D810" s="98"/>
      <c r="E810" s="98"/>
      <c r="F810" s="98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</row>
    <row r="811" spans="1:52" ht="15.75" customHeight="1">
      <c r="A811" s="9"/>
      <c r="B811" s="9"/>
      <c r="C811" s="137"/>
      <c r="D811" s="98"/>
      <c r="E811" s="98"/>
      <c r="F811" s="98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</row>
    <row r="812" spans="1:52" ht="15.75" customHeight="1">
      <c r="A812" s="9"/>
      <c r="B812" s="9"/>
      <c r="C812" s="137"/>
      <c r="D812" s="98"/>
      <c r="E812" s="98"/>
      <c r="F812" s="98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</row>
    <row r="813" spans="1:52" ht="15.75" customHeight="1">
      <c r="A813" s="9"/>
      <c r="B813" s="9"/>
      <c r="C813" s="137"/>
      <c r="D813" s="98"/>
      <c r="E813" s="98"/>
      <c r="F813" s="98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</row>
    <row r="814" spans="1:52" ht="15.75" customHeight="1">
      <c r="A814" s="9"/>
      <c r="B814" s="9"/>
      <c r="C814" s="137"/>
      <c r="D814" s="98"/>
      <c r="E814" s="98"/>
      <c r="F814" s="98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</row>
    <row r="815" spans="1:52" ht="15.75" customHeight="1">
      <c r="A815" s="9"/>
      <c r="B815" s="9"/>
      <c r="C815" s="137"/>
      <c r="D815" s="98"/>
      <c r="E815" s="98"/>
      <c r="F815" s="98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</row>
    <row r="816" spans="1:52" ht="15.75" customHeight="1">
      <c r="A816" s="9"/>
      <c r="B816" s="9"/>
      <c r="C816" s="137"/>
      <c r="D816" s="98"/>
      <c r="E816" s="98"/>
      <c r="F816" s="98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</row>
    <row r="817" spans="1:52" ht="15.75" customHeight="1">
      <c r="A817" s="9"/>
      <c r="B817" s="9"/>
      <c r="C817" s="137"/>
      <c r="D817" s="98"/>
      <c r="E817" s="98"/>
      <c r="F817" s="98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</row>
    <row r="818" spans="1:52" ht="15.75" customHeight="1">
      <c r="A818" s="9"/>
      <c r="B818" s="9"/>
      <c r="C818" s="137"/>
      <c r="D818" s="98"/>
      <c r="E818" s="98"/>
      <c r="F818" s="98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</row>
    <row r="819" spans="1:52" ht="15.75" customHeight="1">
      <c r="A819" s="9"/>
      <c r="B819" s="9"/>
      <c r="C819" s="137"/>
      <c r="D819" s="98"/>
      <c r="E819" s="98"/>
      <c r="F819" s="98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</row>
    <row r="820" spans="1:52" ht="15.75" customHeight="1">
      <c r="A820" s="9"/>
      <c r="B820" s="9"/>
      <c r="C820" s="137"/>
      <c r="D820" s="98"/>
      <c r="E820" s="98"/>
      <c r="F820" s="98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</row>
    <row r="821" spans="1:52" ht="15.75" customHeight="1">
      <c r="A821" s="9"/>
      <c r="B821" s="9"/>
      <c r="C821" s="137"/>
      <c r="D821" s="98"/>
      <c r="E821" s="98"/>
      <c r="F821" s="98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</row>
    <row r="822" spans="1:52" ht="15.75" customHeight="1">
      <c r="A822" s="9"/>
      <c r="B822" s="9"/>
      <c r="C822" s="137"/>
      <c r="D822" s="98"/>
      <c r="E822" s="98"/>
      <c r="F822" s="98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</row>
    <row r="823" spans="1:52" ht="15.75" customHeight="1">
      <c r="A823" s="9"/>
      <c r="B823" s="9"/>
      <c r="C823" s="137"/>
      <c r="D823" s="98"/>
      <c r="E823" s="98"/>
      <c r="F823" s="98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</row>
    <row r="824" spans="1:52" ht="15.75" customHeight="1">
      <c r="A824" s="9"/>
      <c r="B824" s="9"/>
      <c r="C824" s="137"/>
      <c r="D824" s="98"/>
      <c r="E824" s="98"/>
      <c r="F824" s="98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</row>
    <row r="825" spans="1:52" ht="15.75" customHeight="1">
      <c r="A825" s="9"/>
      <c r="B825" s="9"/>
      <c r="C825" s="137"/>
      <c r="D825" s="98"/>
      <c r="E825" s="98"/>
      <c r="F825" s="98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</row>
    <row r="826" spans="1:52" ht="15.75" customHeight="1">
      <c r="A826" s="9"/>
      <c r="B826" s="9"/>
      <c r="C826" s="137"/>
      <c r="D826" s="98"/>
      <c r="E826" s="98"/>
      <c r="F826" s="98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</row>
    <row r="827" spans="1:52" ht="15.75" customHeight="1">
      <c r="A827" s="9"/>
      <c r="B827" s="9"/>
      <c r="C827" s="137"/>
      <c r="D827" s="98"/>
      <c r="E827" s="98"/>
      <c r="F827" s="98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</row>
    <row r="828" spans="1:52" ht="15.75" customHeight="1">
      <c r="A828" s="9"/>
      <c r="B828" s="9"/>
      <c r="C828" s="137"/>
      <c r="D828" s="98"/>
      <c r="E828" s="98"/>
      <c r="F828" s="98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</row>
    <row r="829" spans="1:52" ht="15.75" customHeight="1">
      <c r="A829" s="9"/>
      <c r="B829" s="9"/>
      <c r="C829" s="137"/>
      <c r="D829" s="98"/>
      <c r="E829" s="98"/>
      <c r="F829" s="98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</row>
    <row r="830" spans="1:52" ht="15.75" customHeight="1">
      <c r="A830" s="9"/>
      <c r="B830" s="9"/>
      <c r="C830" s="137"/>
      <c r="D830" s="98"/>
      <c r="E830" s="98"/>
      <c r="F830" s="98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</row>
    <row r="831" spans="1:52" ht="15.75" customHeight="1">
      <c r="A831" s="9"/>
      <c r="B831" s="9"/>
      <c r="C831" s="137"/>
      <c r="D831" s="98"/>
      <c r="E831" s="98"/>
      <c r="F831" s="98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</row>
    <row r="832" spans="1:52" ht="15.75" customHeight="1">
      <c r="A832" s="9"/>
      <c r="B832" s="9"/>
      <c r="C832" s="137"/>
      <c r="D832" s="98"/>
      <c r="E832" s="98"/>
      <c r="F832" s="98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</row>
    <row r="833" spans="1:52" ht="15.75" customHeight="1">
      <c r="A833" s="9"/>
      <c r="B833" s="9"/>
      <c r="C833" s="137"/>
      <c r="D833" s="98"/>
      <c r="E833" s="98"/>
      <c r="F833" s="98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</row>
    <row r="834" spans="1:52" ht="15.75" customHeight="1">
      <c r="A834" s="9"/>
      <c r="B834" s="9"/>
      <c r="C834" s="137"/>
      <c r="D834" s="98"/>
      <c r="E834" s="98"/>
      <c r="F834" s="98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</row>
    <row r="835" spans="1:52" ht="15.75" customHeight="1">
      <c r="A835" s="9"/>
      <c r="B835" s="9"/>
      <c r="C835" s="137"/>
      <c r="D835" s="98"/>
      <c r="E835" s="98"/>
      <c r="F835" s="98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</row>
    <row r="836" spans="1:52" ht="15.75" customHeight="1">
      <c r="A836" s="9"/>
      <c r="B836" s="9"/>
      <c r="C836" s="137"/>
      <c r="D836" s="98"/>
      <c r="E836" s="98"/>
      <c r="F836" s="98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</row>
    <row r="837" spans="1:52" ht="15.75" customHeight="1">
      <c r="A837" s="9"/>
      <c r="B837" s="9"/>
      <c r="C837" s="137"/>
      <c r="D837" s="98"/>
      <c r="E837" s="98"/>
      <c r="F837" s="98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</row>
    <row r="838" spans="1:52" ht="15.75" customHeight="1">
      <c r="A838" s="9"/>
      <c r="B838" s="9"/>
      <c r="C838" s="137"/>
      <c r="D838" s="98"/>
      <c r="E838" s="98"/>
      <c r="F838" s="98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</row>
    <row r="839" spans="1:52" ht="15.75" customHeight="1">
      <c r="A839" s="9"/>
      <c r="B839" s="9"/>
      <c r="C839" s="137"/>
      <c r="D839" s="98"/>
      <c r="E839" s="98"/>
      <c r="F839" s="98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</row>
    <row r="840" spans="1:52" ht="15.75" customHeight="1">
      <c r="A840" s="9"/>
      <c r="B840" s="9"/>
      <c r="C840" s="137"/>
      <c r="D840" s="98"/>
      <c r="E840" s="98"/>
      <c r="F840" s="98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</row>
    <row r="841" spans="1:52" ht="15.75" customHeight="1">
      <c r="A841" s="9"/>
      <c r="B841" s="9"/>
      <c r="C841" s="137"/>
      <c r="D841" s="98"/>
      <c r="E841" s="98"/>
      <c r="F841" s="98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</row>
    <row r="842" spans="1:52" ht="15.75" customHeight="1">
      <c r="A842" s="9"/>
      <c r="B842" s="9"/>
      <c r="C842" s="137"/>
      <c r="D842" s="98"/>
      <c r="E842" s="98"/>
      <c r="F842" s="98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</row>
    <row r="843" spans="1:52" ht="15.75" customHeight="1">
      <c r="A843" s="9"/>
      <c r="B843" s="9"/>
      <c r="C843" s="137"/>
      <c r="D843" s="98"/>
      <c r="E843" s="98"/>
      <c r="F843" s="98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</row>
    <row r="844" spans="1:52" ht="15.75" customHeight="1">
      <c r="A844" s="9"/>
      <c r="B844" s="9"/>
      <c r="C844" s="137"/>
      <c r="D844" s="98"/>
      <c r="E844" s="98"/>
      <c r="F844" s="98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</row>
    <row r="845" spans="1:52" ht="15.75" customHeight="1">
      <c r="A845" s="9"/>
      <c r="B845" s="9"/>
      <c r="C845" s="137"/>
      <c r="D845" s="98"/>
      <c r="E845" s="98"/>
      <c r="F845" s="98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</row>
    <row r="846" spans="1:52" ht="15.75" customHeight="1">
      <c r="A846" s="9"/>
      <c r="B846" s="9"/>
      <c r="C846" s="137"/>
      <c r="D846" s="98"/>
      <c r="E846" s="98"/>
      <c r="F846" s="98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</row>
    <row r="847" spans="1:52" ht="15.75" customHeight="1">
      <c r="A847" s="9"/>
      <c r="B847" s="9"/>
      <c r="C847" s="137"/>
      <c r="D847" s="98"/>
      <c r="E847" s="98"/>
      <c r="F847" s="98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</row>
    <row r="848" spans="1:52" ht="15.75" customHeight="1">
      <c r="A848" s="9"/>
      <c r="B848" s="9"/>
      <c r="C848" s="137"/>
      <c r="D848" s="98"/>
      <c r="E848" s="98"/>
      <c r="F848" s="98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</row>
    <row r="849" spans="1:52" ht="15.75" customHeight="1">
      <c r="A849" s="9"/>
      <c r="B849" s="9"/>
      <c r="C849" s="137"/>
      <c r="D849" s="98"/>
      <c r="E849" s="98"/>
      <c r="F849" s="98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</row>
    <row r="850" spans="1:52" ht="15.75" customHeight="1">
      <c r="A850" s="9"/>
      <c r="B850" s="9"/>
      <c r="C850" s="137"/>
      <c r="D850" s="98"/>
      <c r="E850" s="98"/>
      <c r="F850" s="98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</row>
    <row r="851" spans="1:52" ht="15.75" customHeight="1">
      <c r="A851" s="9"/>
      <c r="B851" s="9"/>
      <c r="C851" s="137"/>
      <c r="D851" s="98"/>
      <c r="E851" s="98"/>
      <c r="F851" s="98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</row>
    <row r="852" spans="1:52" ht="15.75" customHeight="1">
      <c r="A852" s="9"/>
      <c r="B852" s="9"/>
      <c r="C852" s="137"/>
      <c r="D852" s="98"/>
      <c r="E852" s="98"/>
      <c r="F852" s="98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</row>
    <row r="853" spans="1:52" ht="15.75" customHeight="1">
      <c r="A853" s="9"/>
      <c r="B853" s="9"/>
      <c r="C853" s="137"/>
      <c r="D853" s="98"/>
      <c r="E853" s="98"/>
      <c r="F853" s="98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</row>
    <row r="854" spans="1:52" ht="15.75" customHeight="1">
      <c r="A854" s="9"/>
      <c r="B854" s="9"/>
      <c r="C854" s="137"/>
      <c r="D854" s="98"/>
      <c r="E854" s="98"/>
      <c r="F854" s="98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</row>
    <row r="855" spans="1:52" ht="15.75" customHeight="1">
      <c r="A855" s="9"/>
      <c r="B855" s="9"/>
      <c r="C855" s="137"/>
      <c r="D855" s="98"/>
      <c r="E855" s="98"/>
      <c r="F855" s="98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</row>
    <row r="856" spans="1:52" ht="15.75" customHeight="1">
      <c r="A856" s="9"/>
      <c r="B856" s="9"/>
      <c r="C856" s="137"/>
      <c r="D856" s="98"/>
      <c r="E856" s="98"/>
      <c r="F856" s="98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</row>
    <row r="857" spans="1:52" ht="15.75" customHeight="1">
      <c r="A857" s="9"/>
      <c r="B857" s="9"/>
      <c r="C857" s="137"/>
      <c r="D857" s="98"/>
      <c r="E857" s="98"/>
      <c r="F857" s="98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</row>
    <row r="858" spans="1:52" ht="15.75" customHeight="1">
      <c r="A858" s="9"/>
      <c r="B858" s="9"/>
      <c r="C858" s="137"/>
      <c r="D858" s="98"/>
      <c r="E858" s="98"/>
      <c r="F858" s="98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</row>
    <row r="859" spans="1:52" ht="15.75" customHeight="1">
      <c r="A859" s="9"/>
      <c r="B859" s="9"/>
      <c r="C859" s="137"/>
      <c r="D859" s="98"/>
      <c r="E859" s="98"/>
      <c r="F859" s="98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</row>
    <row r="860" spans="1:52" ht="15.75" customHeight="1">
      <c r="A860" s="9"/>
      <c r="B860" s="9"/>
      <c r="C860" s="137"/>
      <c r="D860" s="98"/>
      <c r="E860" s="98"/>
      <c r="F860" s="98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</row>
    <row r="861" spans="1:52" ht="15.75" customHeight="1">
      <c r="A861" s="9"/>
      <c r="B861" s="9"/>
      <c r="C861" s="137"/>
      <c r="D861" s="98"/>
      <c r="E861" s="98"/>
      <c r="F861" s="98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</row>
    <row r="862" spans="1:52" ht="15.75" customHeight="1">
      <c r="A862" s="9"/>
      <c r="B862" s="9"/>
      <c r="C862" s="137"/>
      <c r="D862" s="98"/>
      <c r="E862" s="98"/>
      <c r="F862" s="98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</row>
    <row r="863" spans="1:52" ht="15.75" customHeight="1">
      <c r="A863" s="9"/>
      <c r="B863" s="9"/>
      <c r="C863" s="137"/>
      <c r="D863" s="98"/>
      <c r="E863" s="98"/>
      <c r="F863" s="98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</row>
    <row r="864" spans="1:52" ht="15.75" customHeight="1">
      <c r="A864" s="9"/>
      <c r="B864" s="9"/>
      <c r="C864" s="137"/>
      <c r="D864" s="98"/>
      <c r="E864" s="98"/>
      <c r="F864" s="98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</row>
    <row r="865" spans="1:52" ht="15.75" customHeight="1">
      <c r="A865" s="9"/>
      <c r="B865" s="9"/>
      <c r="C865" s="137"/>
      <c r="D865" s="98"/>
      <c r="E865" s="98"/>
      <c r="F865" s="98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</row>
    <row r="866" spans="1:52" ht="15.75" customHeight="1">
      <c r="A866" s="9"/>
      <c r="B866" s="9"/>
      <c r="C866" s="137"/>
      <c r="D866" s="98"/>
      <c r="E866" s="98"/>
      <c r="F866" s="98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</row>
    <row r="867" spans="1:52" ht="15.75" customHeight="1">
      <c r="A867" s="9"/>
      <c r="B867" s="9"/>
      <c r="C867" s="137"/>
      <c r="D867" s="98"/>
      <c r="E867" s="98"/>
      <c r="F867" s="98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</row>
    <row r="868" spans="1:52" ht="15.75" customHeight="1">
      <c r="A868" s="9"/>
      <c r="B868" s="9"/>
      <c r="C868" s="137"/>
      <c r="D868" s="98"/>
      <c r="E868" s="98"/>
      <c r="F868" s="98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</row>
    <row r="869" spans="1:52" ht="15.75" customHeight="1">
      <c r="A869" s="9"/>
      <c r="B869" s="9"/>
      <c r="C869" s="137"/>
      <c r="D869" s="98"/>
      <c r="E869" s="98"/>
      <c r="F869" s="98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</row>
    <row r="870" spans="1:52" ht="15.75" customHeight="1">
      <c r="A870" s="9"/>
      <c r="B870" s="9"/>
      <c r="C870" s="137"/>
      <c r="D870" s="98"/>
      <c r="E870" s="98"/>
      <c r="F870" s="98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</row>
    <row r="871" spans="1:52" ht="15.75" customHeight="1">
      <c r="A871" s="9"/>
      <c r="B871" s="9"/>
      <c r="C871" s="137"/>
      <c r="D871" s="98"/>
      <c r="E871" s="98"/>
      <c r="F871" s="98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</row>
    <row r="872" spans="1:52" ht="15.75" customHeight="1">
      <c r="A872" s="9"/>
      <c r="B872" s="9"/>
      <c r="C872" s="137"/>
      <c r="D872" s="98"/>
      <c r="E872" s="98"/>
      <c r="F872" s="98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</row>
    <row r="873" spans="1:52" ht="15.75" customHeight="1">
      <c r="A873" s="9"/>
      <c r="B873" s="9"/>
      <c r="C873" s="137"/>
      <c r="D873" s="98"/>
      <c r="E873" s="98"/>
      <c r="F873" s="98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</row>
    <row r="874" spans="1:52" ht="15.75" customHeight="1">
      <c r="A874" s="9"/>
      <c r="B874" s="9"/>
      <c r="C874" s="137"/>
      <c r="D874" s="98"/>
      <c r="E874" s="98"/>
      <c r="F874" s="98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</row>
    <row r="875" spans="1:52" ht="15.75" customHeight="1">
      <c r="A875" s="9"/>
      <c r="B875" s="9"/>
      <c r="C875" s="137"/>
      <c r="D875" s="98"/>
      <c r="E875" s="98"/>
      <c r="F875" s="98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</row>
    <row r="876" spans="1:52" ht="15.75" customHeight="1">
      <c r="A876" s="9"/>
      <c r="B876" s="9"/>
      <c r="C876" s="137"/>
      <c r="D876" s="98"/>
      <c r="E876" s="98"/>
      <c r="F876" s="98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</row>
    <row r="877" spans="1:52" ht="15.75" customHeight="1">
      <c r="A877" s="9"/>
      <c r="B877" s="9"/>
      <c r="C877" s="137"/>
      <c r="D877" s="98"/>
      <c r="E877" s="98"/>
      <c r="F877" s="98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</row>
    <row r="878" spans="1:52" ht="15.75" customHeight="1">
      <c r="A878" s="9"/>
      <c r="B878" s="9"/>
      <c r="C878" s="137"/>
      <c r="D878" s="98"/>
      <c r="E878" s="98"/>
      <c r="F878" s="98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</row>
    <row r="879" spans="1:52" ht="15.75" customHeight="1">
      <c r="A879" s="9"/>
      <c r="B879" s="9"/>
      <c r="C879" s="137"/>
      <c r="D879" s="98"/>
      <c r="E879" s="98"/>
      <c r="F879" s="98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</row>
    <row r="880" spans="1:52" ht="15.75" customHeight="1">
      <c r="A880" s="9"/>
      <c r="B880" s="9"/>
      <c r="C880" s="137"/>
      <c r="D880" s="98"/>
      <c r="E880" s="98"/>
      <c r="F880" s="98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</row>
    <row r="881" spans="1:52" ht="15.75" customHeight="1">
      <c r="A881" s="9"/>
      <c r="B881" s="9"/>
      <c r="C881" s="137"/>
      <c r="D881" s="98"/>
      <c r="E881" s="98"/>
      <c r="F881" s="98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</row>
    <row r="882" spans="1:52" ht="15.75" customHeight="1">
      <c r="A882" s="9"/>
      <c r="B882" s="9"/>
      <c r="C882" s="137"/>
      <c r="D882" s="98"/>
      <c r="E882" s="98"/>
      <c r="F882" s="98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</row>
    <row r="883" spans="1:52" ht="15.75" customHeight="1">
      <c r="A883" s="9"/>
      <c r="B883" s="9"/>
      <c r="C883" s="137"/>
      <c r="D883" s="98"/>
      <c r="E883" s="98"/>
      <c r="F883" s="98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</row>
    <row r="884" spans="1:52" ht="15.75" customHeight="1">
      <c r="A884" s="9"/>
      <c r="B884" s="9"/>
      <c r="C884" s="137"/>
      <c r="D884" s="98"/>
      <c r="E884" s="98"/>
      <c r="F884" s="98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</row>
    <row r="885" spans="1:52" ht="15.75" customHeight="1">
      <c r="A885" s="9"/>
      <c r="B885" s="9"/>
      <c r="C885" s="137"/>
      <c r="D885" s="98"/>
      <c r="E885" s="98"/>
      <c r="F885" s="98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</row>
    <row r="886" spans="1:52" ht="15.75" customHeight="1">
      <c r="A886" s="9"/>
      <c r="B886" s="9"/>
      <c r="C886" s="137"/>
      <c r="D886" s="98"/>
      <c r="E886" s="98"/>
      <c r="F886" s="98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</row>
    <row r="887" spans="1:52" ht="15.75" customHeight="1">
      <c r="A887" s="9"/>
      <c r="B887" s="9"/>
      <c r="C887" s="137"/>
      <c r="D887" s="98"/>
      <c r="E887" s="98"/>
      <c r="F887" s="98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</row>
    <row r="888" spans="1:52" ht="15.75" customHeight="1">
      <c r="A888" s="9"/>
      <c r="B888" s="9"/>
      <c r="C888" s="137"/>
      <c r="D888" s="98"/>
      <c r="E888" s="98"/>
      <c r="F888" s="98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</row>
    <row r="889" spans="1:52" ht="15.75" customHeight="1">
      <c r="A889" s="9"/>
      <c r="B889" s="9"/>
      <c r="C889" s="137"/>
      <c r="D889" s="98"/>
      <c r="E889" s="98"/>
      <c r="F889" s="98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</row>
    <row r="890" spans="1:52" ht="15.75" customHeight="1">
      <c r="A890" s="9"/>
      <c r="B890" s="9"/>
      <c r="C890" s="137"/>
      <c r="D890" s="98"/>
      <c r="E890" s="98"/>
      <c r="F890" s="98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</row>
    <row r="891" spans="1:52" ht="15.75" customHeight="1">
      <c r="A891" s="9"/>
      <c r="B891" s="9"/>
      <c r="C891" s="137"/>
      <c r="D891" s="98"/>
      <c r="E891" s="98"/>
      <c r="F891" s="98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</row>
    <row r="892" spans="1:52" ht="15.75" customHeight="1">
      <c r="A892" s="9"/>
      <c r="B892" s="9"/>
      <c r="C892" s="137"/>
      <c r="D892" s="98"/>
      <c r="E892" s="98"/>
      <c r="F892" s="98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</row>
    <row r="893" spans="1:52" ht="15.75" customHeight="1">
      <c r="A893" s="9"/>
      <c r="B893" s="9"/>
      <c r="C893" s="137"/>
      <c r="D893" s="98"/>
      <c r="E893" s="98"/>
      <c r="F893" s="98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</row>
    <row r="894" spans="1:52" ht="15.75" customHeight="1">
      <c r="A894" s="9"/>
      <c r="B894" s="9"/>
      <c r="C894" s="137"/>
      <c r="D894" s="98"/>
      <c r="E894" s="98"/>
      <c r="F894" s="98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</row>
    <row r="895" spans="1:52" ht="15.75" customHeight="1">
      <c r="A895" s="9"/>
      <c r="B895" s="9"/>
      <c r="C895" s="137"/>
      <c r="D895" s="98"/>
      <c r="E895" s="98"/>
      <c r="F895" s="98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</row>
    <row r="896" spans="1:52" ht="15.75" customHeight="1">
      <c r="A896" s="9"/>
      <c r="B896" s="9"/>
      <c r="C896" s="137"/>
      <c r="D896" s="98"/>
      <c r="E896" s="98"/>
      <c r="F896" s="98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</row>
    <row r="897" spans="1:52" ht="15.75" customHeight="1">
      <c r="A897" s="9"/>
      <c r="B897" s="9"/>
      <c r="C897" s="137"/>
      <c r="D897" s="98"/>
      <c r="E897" s="98"/>
      <c r="F897" s="98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</row>
    <row r="898" spans="1:52" ht="15.75" customHeight="1">
      <c r="A898" s="9"/>
      <c r="B898" s="9"/>
      <c r="C898" s="137"/>
      <c r="D898" s="98"/>
      <c r="E898" s="98"/>
      <c r="F898" s="98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</row>
    <row r="899" spans="1:52" ht="15.75" customHeight="1">
      <c r="A899" s="9"/>
      <c r="B899" s="9"/>
      <c r="C899" s="137"/>
      <c r="D899" s="98"/>
      <c r="E899" s="98"/>
      <c r="F899" s="98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</row>
    <row r="900" spans="1:52" ht="15.75" customHeight="1">
      <c r="A900" s="9"/>
      <c r="B900" s="9"/>
      <c r="C900" s="137"/>
      <c r="D900" s="98"/>
      <c r="E900" s="98"/>
      <c r="F900" s="98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</row>
    <row r="901" spans="1:52" ht="15.75" customHeight="1">
      <c r="A901" s="9"/>
      <c r="B901" s="9"/>
      <c r="C901" s="137"/>
      <c r="D901" s="98"/>
      <c r="E901" s="98"/>
      <c r="F901" s="98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</row>
    <row r="902" spans="1:52" ht="15.75" customHeight="1">
      <c r="A902" s="9"/>
      <c r="B902" s="9"/>
      <c r="C902" s="137"/>
      <c r="D902" s="98"/>
      <c r="E902" s="98"/>
      <c r="F902" s="98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</row>
    <row r="903" spans="1:52" ht="15.75" customHeight="1">
      <c r="A903" s="9"/>
      <c r="B903" s="9"/>
      <c r="C903" s="137"/>
      <c r="D903" s="98"/>
      <c r="E903" s="98"/>
      <c r="F903" s="98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</row>
    <row r="904" spans="1:52" ht="15.75" customHeight="1">
      <c r="A904" s="9"/>
      <c r="B904" s="9"/>
      <c r="C904" s="137"/>
      <c r="D904" s="98"/>
      <c r="E904" s="98"/>
      <c r="F904" s="98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</row>
    <row r="905" spans="1:52" ht="15.75" customHeight="1">
      <c r="A905" s="9"/>
      <c r="B905" s="9"/>
      <c r="C905" s="137"/>
      <c r="D905" s="98"/>
      <c r="E905" s="98"/>
      <c r="F905" s="98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</row>
    <row r="906" spans="1:52" ht="15.75" customHeight="1">
      <c r="A906" s="9"/>
      <c r="B906" s="9"/>
      <c r="C906" s="137"/>
      <c r="D906" s="98"/>
      <c r="E906" s="98"/>
      <c r="F906" s="98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</row>
    <row r="907" spans="1:52" ht="15.75" customHeight="1">
      <c r="A907" s="9"/>
      <c r="B907" s="9"/>
      <c r="C907" s="137"/>
      <c r="D907" s="98"/>
      <c r="E907" s="98"/>
      <c r="F907" s="98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</row>
    <row r="908" spans="1:52" ht="15.75" customHeight="1">
      <c r="A908" s="9"/>
      <c r="B908" s="9"/>
      <c r="C908" s="137"/>
      <c r="D908" s="98"/>
      <c r="E908" s="98"/>
      <c r="F908" s="98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</row>
    <row r="909" spans="1:52" ht="15.75" customHeight="1">
      <c r="A909" s="9"/>
      <c r="B909" s="9"/>
      <c r="C909" s="137"/>
      <c r="D909" s="98"/>
      <c r="E909" s="98"/>
      <c r="F909" s="98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</row>
    <row r="910" spans="1:52" ht="15.75" customHeight="1">
      <c r="A910" s="9"/>
      <c r="B910" s="9"/>
      <c r="C910" s="137"/>
      <c r="D910" s="98"/>
      <c r="E910" s="98"/>
      <c r="F910" s="98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</row>
    <row r="911" spans="1:52" ht="15.75" customHeight="1">
      <c r="A911" s="9"/>
      <c r="B911" s="9"/>
      <c r="C911" s="137"/>
      <c r="D911" s="98"/>
      <c r="E911" s="98"/>
      <c r="F911" s="98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</row>
    <row r="912" spans="1:52" ht="15.75" customHeight="1">
      <c r="A912" s="9"/>
      <c r="B912" s="9"/>
      <c r="C912" s="137"/>
      <c r="D912" s="98"/>
      <c r="E912" s="98"/>
      <c r="F912" s="98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</row>
    <row r="913" spans="1:52" ht="15.75" customHeight="1">
      <c r="A913" s="9"/>
      <c r="B913" s="9"/>
      <c r="C913" s="137"/>
      <c r="D913" s="98"/>
      <c r="E913" s="98"/>
      <c r="F913" s="98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</row>
    <row r="914" spans="1:52" ht="15.75" customHeight="1">
      <c r="A914" s="9"/>
      <c r="B914" s="9"/>
      <c r="C914" s="137"/>
      <c r="D914" s="98"/>
      <c r="E914" s="98"/>
      <c r="F914" s="98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</row>
    <row r="915" spans="1:52" ht="15.75" customHeight="1">
      <c r="A915" s="9"/>
      <c r="B915" s="9"/>
      <c r="C915" s="137"/>
      <c r="D915" s="98"/>
      <c r="E915" s="98"/>
      <c r="F915" s="98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</row>
    <row r="916" spans="1:52" ht="15.75" customHeight="1">
      <c r="A916" s="9"/>
      <c r="B916" s="9"/>
      <c r="C916" s="137"/>
      <c r="D916" s="98"/>
      <c r="E916" s="98"/>
      <c r="F916" s="98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</row>
    <row r="917" spans="1:52" ht="15.75" customHeight="1">
      <c r="A917" s="9"/>
      <c r="B917" s="9"/>
      <c r="C917" s="137"/>
      <c r="D917" s="98"/>
      <c r="E917" s="98"/>
      <c r="F917" s="98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</row>
    <row r="918" spans="1:52" ht="15.75" customHeight="1">
      <c r="A918" s="9"/>
      <c r="B918" s="9"/>
      <c r="C918" s="137"/>
      <c r="D918" s="98"/>
      <c r="E918" s="98"/>
      <c r="F918" s="98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</row>
    <row r="919" spans="1:52" ht="15.75" customHeight="1">
      <c r="A919" s="9"/>
      <c r="B919" s="9"/>
      <c r="C919" s="137"/>
      <c r="D919" s="98"/>
      <c r="E919" s="98"/>
      <c r="F919" s="98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</row>
    <row r="920" spans="1:52" ht="15.75" customHeight="1">
      <c r="A920" s="9"/>
      <c r="B920" s="9"/>
      <c r="C920" s="137"/>
      <c r="D920" s="98"/>
      <c r="E920" s="98"/>
      <c r="F920" s="98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</row>
    <row r="921" spans="1:52" ht="15.75" customHeight="1">
      <c r="A921" s="9"/>
      <c r="B921" s="9"/>
      <c r="C921" s="137"/>
      <c r="D921" s="98"/>
      <c r="E921" s="98"/>
      <c r="F921" s="98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</row>
    <row r="922" spans="1:52" ht="15.75" customHeight="1">
      <c r="A922" s="9"/>
      <c r="B922" s="9"/>
      <c r="C922" s="137"/>
      <c r="D922" s="98"/>
      <c r="E922" s="98"/>
      <c r="F922" s="98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</row>
    <row r="923" spans="1:52" ht="15.75" customHeight="1">
      <c r="A923" s="9"/>
      <c r="B923" s="9"/>
      <c r="C923" s="137"/>
      <c r="D923" s="98"/>
      <c r="E923" s="98"/>
      <c r="F923" s="98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</row>
    <row r="924" spans="1:52" ht="15.75" customHeight="1">
      <c r="A924" s="9"/>
      <c r="B924" s="9"/>
      <c r="C924" s="137"/>
      <c r="D924" s="98"/>
      <c r="E924" s="98"/>
      <c r="F924" s="98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</row>
    <row r="925" spans="1:52" ht="15.75" customHeight="1">
      <c r="A925" s="9"/>
      <c r="B925" s="9"/>
      <c r="C925" s="137"/>
      <c r="D925" s="98"/>
      <c r="E925" s="98"/>
      <c r="F925" s="98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</row>
    <row r="926" spans="1:52" ht="15.75" customHeight="1">
      <c r="A926" s="9"/>
      <c r="B926" s="9"/>
      <c r="C926" s="137"/>
      <c r="D926" s="98"/>
      <c r="E926" s="98"/>
      <c r="F926" s="98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</row>
    <row r="927" spans="1:52" ht="15.75" customHeight="1">
      <c r="A927" s="9"/>
      <c r="B927" s="9"/>
      <c r="C927" s="137"/>
      <c r="D927" s="98"/>
      <c r="E927" s="98"/>
      <c r="F927" s="98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</row>
    <row r="928" spans="1:52" ht="15.75" customHeight="1">
      <c r="A928" s="9"/>
      <c r="B928" s="9"/>
      <c r="C928" s="137"/>
      <c r="D928" s="98"/>
      <c r="E928" s="98"/>
      <c r="F928" s="98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</row>
    <row r="929" spans="1:52" ht="15.75" customHeight="1">
      <c r="A929" s="9"/>
      <c r="B929" s="9"/>
      <c r="C929" s="137"/>
      <c r="D929" s="98"/>
      <c r="E929" s="98"/>
      <c r="F929" s="98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</row>
    <row r="930" spans="1:52" ht="15.75" customHeight="1">
      <c r="A930" s="9"/>
      <c r="B930" s="9"/>
      <c r="C930" s="137"/>
      <c r="D930" s="98"/>
      <c r="E930" s="98"/>
      <c r="F930" s="98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</row>
    <row r="931" spans="1:52" ht="15.75" customHeight="1">
      <c r="A931" s="9"/>
      <c r="B931" s="9"/>
      <c r="C931" s="137"/>
      <c r="D931" s="98"/>
      <c r="E931" s="98"/>
      <c r="F931" s="98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</row>
    <row r="932" spans="1:52" ht="15.75" customHeight="1">
      <c r="A932" s="9"/>
      <c r="B932" s="9"/>
      <c r="C932" s="137"/>
      <c r="D932" s="98"/>
      <c r="E932" s="98"/>
      <c r="F932" s="98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</row>
    <row r="933" spans="1:52" ht="15.75" customHeight="1">
      <c r="A933" s="9"/>
      <c r="B933" s="9"/>
      <c r="C933" s="137"/>
      <c r="D933" s="98"/>
      <c r="E933" s="98"/>
      <c r="F933" s="98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</row>
    <row r="934" spans="1:52" ht="15.75" customHeight="1">
      <c r="A934" s="9"/>
      <c r="B934" s="9"/>
      <c r="C934" s="137"/>
      <c r="D934" s="98"/>
      <c r="E934" s="98"/>
      <c r="F934" s="98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</row>
    <row r="935" spans="1:52" ht="15.75" customHeight="1">
      <c r="A935" s="9"/>
      <c r="B935" s="9"/>
      <c r="C935" s="137"/>
      <c r="D935" s="98"/>
      <c r="E935" s="98"/>
      <c r="F935" s="98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</row>
    <row r="936" spans="1:52" ht="15.75" customHeight="1">
      <c r="A936" s="9"/>
      <c r="B936" s="9"/>
      <c r="C936" s="137"/>
      <c r="D936" s="98"/>
      <c r="E936" s="98"/>
      <c r="F936" s="98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</row>
    <row r="937" spans="1:52" ht="15.75" customHeight="1">
      <c r="A937" s="9"/>
      <c r="B937" s="9"/>
      <c r="C937" s="137"/>
      <c r="D937" s="98"/>
      <c r="E937" s="98"/>
      <c r="F937" s="98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</row>
    <row r="938" spans="1:52" ht="15.75" customHeight="1">
      <c r="A938" s="9"/>
      <c r="B938" s="9"/>
      <c r="C938" s="137"/>
      <c r="D938" s="98"/>
      <c r="E938" s="98"/>
      <c r="F938" s="98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</row>
    <row r="939" spans="1:52" ht="15.75" customHeight="1">
      <c r="A939" s="9"/>
      <c r="B939" s="9"/>
      <c r="C939" s="137"/>
      <c r="D939" s="98"/>
      <c r="E939" s="98"/>
      <c r="F939" s="98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</row>
    <row r="940" spans="1:52" ht="15.75" customHeight="1">
      <c r="A940" s="9"/>
      <c r="B940" s="9"/>
      <c r="C940" s="137"/>
      <c r="D940" s="98"/>
      <c r="E940" s="98"/>
      <c r="F940" s="98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</row>
    <row r="941" spans="1:52" ht="15.75" customHeight="1">
      <c r="A941" s="9"/>
      <c r="B941" s="9"/>
      <c r="C941" s="137"/>
      <c r="D941" s="98"/>
      <c r="E941" s="98"/>
      <c r="F941" s="98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</row>
    <row r="942" spans="1:52" ht="15.75" customHeight="1">
      <c r="A942" s="9"/>
      <c r="B942" s="9"/>
      <c r="C942" s="137"/>
      <c r="D942" s="98"/>
      <c r="E942" s="98"/>
      <c r="F942" s="98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</row>
    <row r="943" spans="1:52" ht="15.75" customHeight="1">
      <c r="A943" s="9"/>
      <c r="B943" s="9"/>
      <c r="C943" s="137"/>
      <c r="D943" s="98"/>
      <c r="E943" s="98"/>
      <c r="F943" s="98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</row>
    <row r="944" spans="1:52" ht="15.75" customHeight="1">
      <c r="A944" s="9"/>
      <c r="B944" s="9"/>
      <c r="C944" s="137"/>
      <c r="D944" s="98"/>
      <c r="E944" s="98"/>
      <c r="F944" s="98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</row>
    <row r="945" spans="1:52" ht="15.75" customHeight="1">
      <c r="A945" s="9"/>
      <c r="B945" s="9"/>
      <c r="C945" s="137"/>
      <c r="D945" s="98"/>
      <c r="E945" s="98"/>
      <c r="F945" s="98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</row>
    <row r="946" spans="1:52" ht="15.75" customHeight="1">
      <c r="A946" s="9"/>
      <c r="B946" s="9"/>
      <c r="C946" s="137"/>
      <c r="D946" s="98"/>
      <c r="E946" s="98"/>
      <c r="F946" s="98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</row>
    <row r="947" spans="1:52" ht="15.75" customHeight="1">
      <c r="A947" s="9"/>
      <c r="B947" s="9"/>
      <c r="C947" s="137"/>
      <c r="D947" s="98"/>
      <c r="E947" s="98"/>
      <c r="F947" s="98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</row>
    <row r="948" spans="1:52" ht="15.75" customHeight="1">
      <c r="A948" s="9"/>
      <c r="B948" s="9"/>
      <c r="C948" s="137"/>
      <c r="D948" s="98"/>
      <c r="E948" s="98"/>
      <c r="F948" s="98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</row>
    <row r="949" spans="1:52" ht="15.75" customHeight="1">
      <c r="A949" s="9"/>
      <c r="B949" s="9"/>
      <c r="C949" s="137"/>
      <c r="D949" s="98"/>
      <c r="E949" s="98"/>
      <c r="F949" s="98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</row>
    <row r="950" spans="1:52" ht="15.75" customHeight="1">
      <c r="A950" s="9"/>
      <c r="B950" s="9"/>
      <c r="C950" s="137"/>
      <c r="D950" s="98"/>
      <c r="E950" s="98"/>
      <c r="F950" s="98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</row>
    <row r="951" spans="1:52" ht="15.75" customHeight="1">
      <c r="A951" s="9"/>
      <c r="B951" s="9"/>
      <c r="C951" s="137"/>
      <c r="D951" s="98"/>
      <c r="E951" s="98"/>
      <c r="F951" s="98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</row>
    <row r="952" spans="1:52" ht="15.75" customHeight="1">
      <c r="A952" s="9"/>
      <c r="B952" s="9"/>
      <c r="C952" s="137"/>
      <c r="D952" s="98"/>
      <c r="E952" s="98"/>
      <c r="F952" s="98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</row>
    <row r="953" spans="1:52" ht="15.75" customHeight="1">
      <c r="A953" s="9"/>
      <c r="B953" s="9"/>
      <c r="C953" s="137"/>
      <c r="D953" s="98"/>
      <c r="E953" s="98"/>
      <c r="F953" s="98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</row>
    <row r="954" spans="1:52" ht="15.75" customHeight="1">
      <c r="A954" s="9"/>
      <c r="B954" s="9"/>
      <c r="C954" s="137"/>
      <c r="D954" s="98"/>
      <c r="E954" s="98"/>
      <c r="F954" s="98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</row>
    <row r="955" spans="1:52" ht="15.75" customHeight="1">
      <c r="A955" s="9"/>
      <c r="B955" s="9"/>
      <c r="C955" s="137"/>
      <c r="D955" s="98"/>
      <c r="E955" s="98"/>
      <c r="F955" s="98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</row>
    <row r="956" spans="1:52" ht="15.75" customHeight="1">
      <c r="A956" s="9"/>
      <c r="B956" s="9"/>
      <c r="C956" s="137"/>
      <c r="D956" s="98"/>
      <c r="E956" s="98"/>
      <c r="F956" s="98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</row>
    <row r="957" spans="1:52" ht="15.75" customHeight="1">
      <c r="A957" s="9"/>
      <c r="B957" s="9"/>
      <c r="C957" s="137"/>
      <c r="D957" s="98"/>
      <c r="E957" s="98"/>
      <c r="F957" s="98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</row>
    <row r="958" spans="1:52" ht="15.75" customHeight="1">
      <c r="A958" s="9"/>
      <c r="B958" s="9"/>
      <c r="C958" s="137"/>
      <c r="D958" s="98"/>
      <c r="E958" s="98"/>
      <c r="F958" s="98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</row>
    <row r="959" spans="1:52" ht="15.75" customHeight="1">
      <c r="A959" s="9"/>
      <c r="B959" s="9"/>
      <c r="C959" s="137"/>
      <c r="D959" s="98"/>
      <c r="E959" s="98"/>
      <c r="F959" s="98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</row>
    <row r="960" spans="1:52" ht="15.75" customHeight="1">
      <c r="A960" s="9"/>
      <c r="B960" s="9"/>
      <c r="C960" s="137"/>
      <c r="D960" s="98"/>
      <c r="E960" s="98"/>
      <c r="F960" s="98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</row>
    <row r="961" spans="1:52" ht="15.75" customHeight="1">
      <c r="A961" s="9"/>
      <c r="B961" s="9"/>
      <c r="C961" s="137"/>
      <c r="D961" s="98"/>
      <c r="E961" s="98"/>
      <c r="F961" s="98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</row>
    <row r="962" spans="1:52" ht="15.75" customHeight="1">
      <c r="A962" s="9"/>
      <c r="B962" s="9"/>
      <c r="C962" s="137"/>
      <c r="D962" s="98"/>
      <c r="E962" s="98"/>
      <c r="F962" s="98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</row>
    <row r="963" spans="1:52" ht="15.75" customHeight="1">
      <c r="A963" s="9"/>
      <c r="B963" s="9"/>
      <c r="C963" s="137"/>
      <c r="D963" s="98"/>
      <c r="E963" s="98"/>
      <c r="F963" s="98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</row>
    <row r="964" spans="1:52" ht="15.75" customHeight="1">
      <c r="A964" s="9"/>
      <c r="B964" s="9"/>
      <c r="C964" s="137"/>
      <c r="D964" s="98"/>
      <c r="E964" s="98"/>
      <c r="F964" s="98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</row>
    <row r="965" spans="1:52" ht="15.75" customHeight="1">
      <c r="A965" s="9"/>
      <c r="B965" s="9"/>
      <c r="C965" s="137"/>
      <c r="D965" s="98"/>
      <c r="E965" s="98"/>
      <c r="F965" s="98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</row>
    <row r="966" spans="1:52" ht="15.75" customHeight="1">
      <c r="A966" s="9"/>
      <c r="B966" s="9"/>
      <c r="C966" s="137"/>
      <c r="D966" s="98"/>
      <c r="E966" s="98"/>
      <c r="F966" s="98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</row>
    <row r="967" spans="1:52" ht="15.75" customHeight="1">
      <c r="A967" s="9"/>
      <c r="B967" s="9"/>
      <c r="C967" s="137"/>
      <c r="D967" s="98"/>
      <c r="E967" s="98"/>
      <c r="F967" s="98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</row>
    <row r="968" spans="1:52" ht="15.75" customHeight="1">
      <c r="A968" s="9"/>
      <c r="B968" s="9"/>
      <c r="C968" s="137"/>
      <c r="D968" s="98"/>
      <c r="E968" s="98"/>
      <c r="F968" s="98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</row>
    <row r="969" spans="1:52" ht="15.75" customHeight="1">
      <c r="A969" s="9"/>
      <c r="B969" s="9"/>
      <c r="C969" s="137"/>
      <c r="D969" s="98"/>
      <c r="E969" s="98"/>
      <c r="F969" s="98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</row>
    <row r="970" spans="1:52" ht="15.75" customHeight="1">
      <c r="A970" s="9"/>
      <c r="B970" s="9"/>
      <c r="C970" s="137"/>
      <c r="D970" s="98"/>
      <c r="E970" s="98"/>
      <c r="F970" s="98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</row>
    <row r="971" spans="1:52" ht="15.75" customHeight="1">
      <c r="A971" s="9"/>
      <c r="B971" s="9"/>
      <c r="C971" s="137"/>
      <c r="D971" s="98"/>
      <c r="E971" s="98"/>
      <c r="F971" s="98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</row>
    <row r="972" spans="1:52" ht="15.75" customHeight="1">
      <c r="A972" s="9"/>
      <c r="B972" s="9"/>
      <c r="C972" s="137"/>
      <c r="D972" s="98"/>
      <c r="E972" s="98"/>
      <c r="F972" s="98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</row>
    <row r="973" spans="1:52" ht="15.75" customHeight="1">
      <c r="A973" s="9"/>
      <c r="B973" s="9"/>
      <c r="C973" s="137"/>
      <c r="D973" s="98"/>
      <c r="E973" s="98"/>
      <c r="F973" s="98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</row>
    <row r="974" spans="1:52" ht="15.75" customHeight="1">
      <c r="A974" s="9"/>
      <c r="B974" s="9"/>
      <c r="C974" s="137"/>
      <c r="D974" s="98"/>
      <c r="E974" s="98"/>
      <c r="F974" s="98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</row>
    <row r="975" spans="1:52" ht="15.75" customHeight="1">
      <c r="A975" s="9"/>
      <c r="B975" s="9"/>
      <c r="C975" s="137"/>
      <c r="D975" s="98"/>
      <c r="E975" s="98"/>
      <c r="F975" s="98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</row>
    <row r="976" spans="1:52" ht="15.75" customHeight="1">
      <c r="A976" s="9"/>
      <c r="B976" s="9"/>
      <c r="C976" s="137"/>
      <c r="D976" s="98"/>
      <c r="E976" s="98"/>
      <c r="F976" s="98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</row>
    <row r="977" spans="1:52" ht="15.75" customHeight="1">
      <c r="A977" s="9"/>
      <c r="B977" s="9"/>
      <c r="C977" s="137"/>
      <c r="D977" s="98"/>
      <c r="E977" s="98"/>
      <c r="F977" s="98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</row>
    <row r="978" spans="1:52" ht="15.75" customHeight="1">
      <c r="A978" s="9"/>
      <c r="B978" s="9"/>
      <c r="C978" s="137"/>
      <c r="D978" s="98"/>
      <c r="E978" s="98"/>
      <c r="F978" s="98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</row>
    <row r="979" spans="1:52" ht="15.75" customHeight="1">
      <c r="A979" s="9"/>
      <c r="B979" s="9"/>
      <c r="C979" s="137"/>
      <c r="D979" s="98"/>
      <c r="E979" s="98"/>
      <c r="F979" s="98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</row>
    <row r="980" spans="1:52" ht="15.75" customHeight="1">
      <c r="A980" s="9"/>
      <c r="B980" s="9"/>
      <c r="C980" s="137"/>
      <c r="D980" s="98"/>
      <c r="E980" s="98"/>
      <c r="F980" s="98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</row>
    <row r="981" spans="1:52" ht="15.75" customHeight="1">
      <c r="A981" s="9"/>
      <c r="B981" s="9"/>
      <c r="C981" s="137"/>
      <c r="D981" s="98"/>
      <c r="E981" s="98"/>
      <c r="F981" s="98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</row>
    <row r="982" spans="1:52" ht="15.75" customHeight="1">
      <c r="A982" s="9"/>
      <c r="B982" s="9"/>
      <c r="C982" s="137"/>
      <c r="D982" s="98"/>
      <c r="E982" s="98"/>
      <c r="F982" s="98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</row>
    <row r="983" spans="1:52" ht="15.75" customHeight="1">
      <c r="A983" s="9"/>
      <c r="B983" s="9"/>
      <c r="C983" s="137"/>
      <c r="D983" s="98"/>
      <c r="E983" s="98"/>
      <c r="F983" s="98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</row>
    <row r="984" spans="1:52" ht="15.75" customHeight="1">
      <c r="A984" s="9"/>
      <c r="B984" s="9"/>
      <c r="C984" s="137"/>
      <c r="D984" s="98"/>
      <c r="E984" s="98"/>
      <c r="F984" s="98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</row>
    <row r="985" spans="1:52" ht="15.75" customHeight="1">
      <c r="A985" s="9"/>
      <c r="B985" s="9"/>
      <c r="C985" s="137"/>
      <c r="D985" s="98"/>
      <c r="E985" s="98"/>
      <c r="F985" s="98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</row>
    <row r="986" spans="1:52" ht="15.75" customHeight="1">
      <c r="A986" s="9"/>
      <c r="B986" s="9"/>
      <c r="C986" s="137"/>
      <c r="D986" s="98"/>
      <c r="E986" s="98"/>
      <c r="F986" s="98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</row>
    <row r="987" spans="1:52" ht="15.75" customHeight="1">
      <c r="A987" s="9"/>
      <c r="B987" s="9"/>
      <c r="C987" s="137"/>
      <c r="D987" s="98"/>
      <c r="E987" s="98"/>
      <c r="F987" s="98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</row>
    <row r="988" spans="1:52" ht="15.75" customHeight="1">
      <c r="A988" s="9"/>
      <c r="B988" s="9"/>
      <c r="C988" s="137"/>
      <c r="D988" s="98"/>
      <c r="E988" s="98"/>
      <c r="F988" s="98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</row>
    <row r="989" spans="1:52" ht="15.75" customHeight="1">
      <c r="A989" s="9"/>
      <c r="B989" s="9"/>
      <c r="C989" s="137"/>
      <c r="D989" s="98"/>
      <c r="E989" s="98"/>
      <c r="F989" s="98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</row>
    <row r="990" spans="1:52" ht="15.75" customHeight="1">
      <c r="A990" s="9"/>
      <c r="B990" s="9"/>
      <c r="C990" s="137"/>
      <c r="D990" s="98"/>
      <c r="E990" s="98"/>
      <c r="F990" s="98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</row>
    <row r="991" spans="1:52" ht="15.75" customHeight="1">
      <c r="A991" s="9"/>
      <c r="B991" s="9"/>
      <c r="C991" s="137"/>
      <c r="D991" s="98"/>
      <c r="E991" s="98"/>
      <c r="F991" s="98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</row>
    <row r="992" spans="1:52" ht="15.75" customHeight="1">
      <c r="A992" s="9"/>
      <c r="B992" s="9"/>
      <c r="C992" s="137"/>
      <c r="D992" s="98"/>
      <c r="E992" s="98"/>
      <c r="F992" s="98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</row>
    <row r="993" spans="1:52" ht="15.75" customHeight="1">
      <c r="A993" s="9"/>
      <c r="B993" s="9"/>
      <c r="C993" s="137"/>
      <c r="D993" s="98"/>
      <c r="E993" s="98"/>
      <c r="F993" s="98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</row>
    <row r="994" spans="1:52" ht="15.75" customHeight="1">
      <c r="A994" s="9"/>
      <c r="B994" s="9"/>
      <c r="C994" s="137"/>
      <c r="D994" s="98"/>
      <c r="E994" s="98"/>
      <c r="F994" s="98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</row>
    <row r="995" spans="1:52" ht="15.75" customHeight="1">
      <c r="A995" s="9"/>
      <c r="B995" s="9"/>
      <c r="C995" s="137"/>
      <c r="D995" s="98"/>
      <c r="E995" s="98"/>
      <c r="F995" s="98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</row>
    <row r="996" spans="1:52" ht="15.75" customHeight="1">
      <c r="A996" s="9"/>
      <c r="B996" s="9"/>
      <c r="C996" s="137"/>
      <c r="D996" s="98"/>
      <c r="E996" s="98"/>
      <c r="F996" s="98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</row>
    <row r="997" spans="1:52" ht="15.75" customHeight="1">
      <c r="A997" s="9"/>
      <c r="B997" s="9"/>
      <c r="C997" s="137"/>
      <c r="D997" s="98"/>
      <c r="E997" s="98"/>
      <c r="F997" s="98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</row>
    <row r="998" spans="1:52" ht="15.75" customHeight="1">
      <c r="A998" s="9"/>
      <c r="B998" s="9"/>
      <c r="C998" s="137"/>
      <c r="D998" s="98"/>
      <c r="E998" s="98"/>
      <c r="F998" s="98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</row>
    <row r="999" spans="1:52" ht="15.75" customHeight="1">
      <c r="A999" s="9"/>
      <c r="B999" s="9"/>
      <c r="C999" s="137"/>
      <c r="D999" s="98"/>
      <c r="E999" s="98"/>
      <c r="F999" s="98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</row>
    <row r="1000" spans="1:52" ht="15.75" customHeight="1">
      <c r="A1000" s="9"/>
      <c r="B1000" s="9"/>
      <c r="C1000" s="137"/>
      <c r="D1000" s="98"/>
      <c r="E1000" s="98"/>
      <c r="F1000" s="98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</row>
    <row r="1001" spans="1:52" ht="15.75" customHeight="1">
      <c r="A1001" s="9"/>
      <c r="B1001" s="9"/>
      <c r="C1001" s="137"/>
      <c r="D1001" s="98"/>
      <c r="E1001" s="98"/>
      <c r="F1001" s="98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</row>
    <row r="1002" spans="1:52" ht="15.75" customHeight="1">
      <c r="A1002" s="9"/>
      <c r="B1002" s="9"/>
      <c r="C1002" s="137"/>
      <c r="D1002" s="98"/>
      <c r="E1002" s="98"/>
      <c r="F1002" s="98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</row>
    <row r="1003" spans="1:52" ht="15.75" customHeight="1">
      <c r="A1003" s="9"/>
      <c r="B1003" s="9"/>
      <c r="C1003" s="137"/>
      <c r="D1003" s="98"/>
      <c r="E1003" s="98"/>
      <c r="F1003" s="98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</row>
    <row r="1004" spans="1:52" ht="15.75" customHeight="1">
      <c r="A1004" s="9"/>
      <c r="B1004" s="9"/>
      <c r="C1004" s="137"/>
      <c r="D1004" s="98"/>
      <c r="E1004" s="98"/>
      <c r="F1004" s="98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</row>
    <row r="1005" spans="1:52" ht="15.75" customHeight="1">
      <c r="A1005" s="9"/>
      <c r="B1005" s="9"/>
      <c r="C1005" s="137"/>
      <c r="D1005" s="98"/>
      <c r="E1005" s="98"/>
      <c r="F1005" s="98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</row>
    <row r="1006" spans="1:52" ht="15.75" customHeight="1">
      <c r="A1006" s="9"/>
      <c r="B1006" s="9"/>
      <c r="C1006" s="137"/>
      <c r="D1006" s="98"/>
      <c r="E1006" s="98"/>
      <c r="F1006" s="98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</row>
    <row r="1007" spans="1:52" ht="15.75" customHeight="1">
      <c r="A1007" s="9"/>
      <c r="B1007" s="9"/>
      <c r="C1007" s="137"/>
      <c r="D1007" s="98"/>
      <c r="E1007" s="98"/>
      <c r="F1007" s="98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</row>
    <row r="1008" spans="1:52" ht="15.75" customHeight="1">
      <c r="A1008" s="9"/>
      <c r="B1008" s="9"/>
      <c r="C1008" s="137"/>
      <c r="D1008" s="98"/>
      <c r="E1008" s="98"/>
      <c r="F1008" s="98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</row>
    <row r="1009" spans="1:52" ht="15.75" customHeight="1">
      <c r="A1009" s="9"/>
      <c r="B1009" s="9"/>
      <c r="C1009" s="137"/>
      <c r="D1009" s="98"/>
      <c r="E1009" s="98"/>
      <c r="F1009" s="98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</row>
    <row r="1010" spans="1:52" ht="15.75" customHeight="1">
      <c r="A1010" s="9"/>
      <c r="B1010" s="9"/>
      <c r="C1010" s="137"/>
      <c r="D1010" s="98"/>
      <c r="E1010" s="98"/>
      <c r="F1010" s="98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</row>
    <row r="1011" spans="1:52" ht="15.75" customHeight="1">
      <c r="A1011" s="9"/>
      <c r="B1011" s="9"/>
      <c r="C1011" s="137"/>
      <c r="D1011" s="98"/>
      <c r="E1011" s="98"/>
      <c r="F1011" s="98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</row>
    <row r="1012" spans="1:52" ht="15.75" customHeight="1">
      <c r="A1012" s="9"/>
      <c r="B1012" s="9"/>
      <c r="C1012" s="137"/>
      <c r="D1012" s="98"/>
      <c r="E1012" s="98"/>
      <c r="F1012" s="98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</row>
    <row r="1013" spans="1:52" ht="15.75" customHeight="1">
      <c r="A1013" s="9"/>
      <c r="B1013" s="9"/>
      <c r="C1013" s="137"/>
      <c r="D1013" s="98"/>
      <c r="E1013" s="98"/>
      <c r="F1013" s="98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</row>
    <row r="1014" spans="1:52" ht="15.75" customHeight="1">
      <c r="A1014" s="9"/>
      <c r="B1014" s="9"/>
      <c r="C1014" s="137"/>
      <c r="D1014" s="98"/>
      <c r="E1014" s="98"/>
      <c r="F1014" s="98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</row>
    <row r="1015" spans="1:52" ht="15.75" customHeight="1">
      <c r="A1015" s="9"/>
      <c r="B1015" s="9"/>
      <c r="C1015" s="137"/>
      <c r="D1015" s="98"/>
      <c r="E1015" s="98"/>
      <c r="F1015" s="98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</row>
    <row r="1016" spans="1:52" ht="15.75" customHeight="1">
      <c r="A1016" s="9"/>
      <c r="B1016" s="9"/>
      <c r="C1016" s="137"/>
      <c r="D1016" s="98"/>
      <c r="E1016" s="98"/>
      <c r="F1016" s="98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</row>
    <row r="1017" spans="1:52" ht="15.75" customHeight="1">
      <c r="A1017" s="9"/>
      <c r="B1017" s="9"/>
      <c r="C1017" s="137"/>
      <c r="D1017" s="98"/>
      <c r="E1017" s="98"/>
      <c r="F1017" s="98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</row>
    <row r="1018" spans="1:52" ht="15.75" customHeight="1">
      <c r="A1018" s="9"/>
      <c r="B1018" s="9"/>
      <c r="C1018" s="137"/>
      <c r="D1018" s="98"/>
      <c r="E1018" s="98"/>
      <c r="F1018" s="98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</row>
    <row r="1019" spans="1:52" ht="15.75" customHeight="1">
      <c r="A1019" s="9"/>
      <c r="B1019" s="9"/>
      <c r="C1019" s="137"/>
      <c r="D1019" s="98"/>
      <c r="E1019" s="98"/>
      <c r="F1019" s="98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</row>
    <row r="1020" spans="1:52" ht="15.75" customHeight="1">
      <c r="A1020" s="9"/>
      <c r="B1020" s="9"/>
      <c r="C1020" s="137"/>
      <c r="D1020" s="98"/>
      <c r="E1020" s="98"/>
      <c r="F1020" s="98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</row>
    <row r="1021" spans="1:52" ht="15.75" customHeight="1">
      <c r="A1021" s="9"/>
      <c r="B1021" s="9"/>
      <c r="C1021" s="137"/>
      <c r="D1021" s="98"/>
      <c r="E1021" s="98"/>
      <c r="F1021" s="98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</row>
    <row r="1022" spans="1:52" ht="15.75" customHeight="1">
      <c r="A1022" s="9"/>
      <c r="B1022" s="9"/>
      <c r="C1022" s="137"/>
      <c r="D1022" s="98"/>
      <c r="E1022" s="98"/>
      <c r="F1022" s="98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</row>
    <row r="1023" spans="1:52" ht="15.75" customHeight="1">
      <c r="A1023" s="9"/>
      <c r="B1023" s="9"/>
      <c r="C1023" s="137"/>
      <c r="D1023" s="98"/>
      <c r="E1023" s="98"/>
      <c r="F1023" s="98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</row>
    <row r="1024" spans="1:52" ht="15.75" customHeight="1">
      <c r="A1024" s="9"/>
      <c r="B1024" s="9"/>
      <c r="C1024" s="137"/>
      <c r="D1024" s="98"/>
      <c r="E1024" s="98"/>
      <c r="F1024" s="98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</row>
    <row r="1025" spans="1:52" ht="15.75" customHeight="1">
      <c r="A1025" s="9"/>
      <c r="B1025" s="9"/>
      <c r="C1025" s="137"/>
      <c r="D1025" s="98"/>
      <c r="E1025" s="98"/>
      <c r="F1025" s="98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</row>
    <row r="1026" spans="1:52" ht="15.75" customHeight="1">
      <c r="A1026" s="9"/>
      <c r="B1026" s="9"/>
      <c r="C1026" s="137"/>
      <c r="D1026" s="98"/>
      <c r="E1026" s="98"/>
      <c r="F1026" s="98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</row>
    <row r="1027" spans="1:52" ht="15.75" customHeight="1">
      <c r="A1027" s="9"/>
      <c r="B1027" s="9"/>
      <c r="C1027" s="137"/>
      <c r="D1027" s="98"/>
      <c r="E1027" s="98"/>
      <c r="F1027" s="98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</row>
    <row r="1028" spans="1:52" ht="15.75" customHeight="1">
      <c r="A1028" s="9"/>
      <c r="B1028" s="9"/>
      <c r="C1028" s="137"/>
      <c r="D1028" s="98"/>
      <c r="E1028" s="98"/>
      <c r="F1028" s="98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</row>
    <row r="1029" spans="1:52" ht="15.75" customHeight="1">
      <c r="A1029" s="9"/>
      <c r="B1029" s="9"/>
      <c r="C1029" s="137"/>
      <c r="D1029" s="98"/>
      <c r="E1029" s="98"/>
      <c r="F1029" s="98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</row>
    <row r="1030" spans="1:52" ht="15.75" customHeight="1">
      <c r="A1030" s="9"/>
      <c r="B1030" s="9"/>
      <c r="C1030" s="137"/>
      <c r="D1030" s="98"/>
      <c r="E1030" s="98"/>
      <c r="F1030" s="98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</row>
    <row r="1031" spans="1:52" ht="15.75" customHeight="1">
      <c r="A1031" s="9"/>
      <c r="B1031" s="9"/>
      <c r="C1031" s="137"/>
      <c r="D1031" s="98"/>
      <c r="E1031" s="98"/>
      <c r="F1031" s="98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</row>
    <row r="1032" spans="1:52" ht="15.75" customHeight="1">
      <c r="A1032" s="9"/>
      <c r="B1032" s="9"/>
      <c r="C1032" s="137"/>
      <c r="D1032" s="98"/>
      <c r="E1032" s="98"/>
      <c r="F1032" s="98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</row>
    <row r="1033" spans="1:52" ht="15.75" customHeight="1">
      <c r="A1033" s="9"/>
      <c r="B1033" s="9"/>
      <c r="C1033" s="137"/>
      <c r="D1033" s="98"/>
      <c r="E1033" s="98"/>
      <c r="F1033" s="98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</row>
    <row r="1034" spans="1:52" ht="15.75" customHeight="1">
      <c r="A1034" s="9"/>
      <c r="B1034" s="9"/>
      <c r="C1034" s="137"/>
      <c r="D1034" s="98"/>
      <c r="E1034" s="98"/>
      <c r="F1034" s="98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</row>
    <row r="1035" spans="1:52" ht="15.75" customHeight="1">
      <c r="A1035" s="9"/>
      <c r="B1035" s="9"/>
      <c r="C1035" s="137"/>
      <c r="D1035" s="98"/>
      <c r="E1035" s="98"/>
      <c r="F1035" s="98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</row>
    <row r="1036" spans="1:52" ht="15.75" customHeight="1">
      <c r="A1036" s="9"/>
      <c r="B1036" s="9"/>
      <c r="C1036" s="137"/>
      <c r="D1036" s="98"/>
      <c r="E1036" s="98"/>
      <c r="F1036" s="98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</row>
    <row r="1037" spans="1:52" ht="15.75" customHeight="1">
      <c r="A1037" s="9"/>
      <c r="B1037" s="9"/>
      <c r="C1037" s="137"/>
      <c r="D1037" s="98"/>
      <c r="E1037" s="98"/>
      <c r="F1037" s="98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</row>
    <row r="1038" spans="1:52" ht="15.75" customHeight="1">
      <c r="A1038" s="9"/>
      <c r="B1038" s="9"/>
      <c r="C1038" s="137"/>
      <c r="D1038" s="98"/>
      <c r="E1038" s="98"/>
      <c r="F1038" s="98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</row>
    <row r="1039" spans="1:52" ht="15.75" customHeight="1">
      <c r="A1039" s="9"/>
      <c r="B1039" s="9"/>
      <c r="C1039" s="137"/>
      <c r="D1039" s="98"/>
      <c r="E1039" s="98"/>
      <c r="F1039" s="98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</row>
    <row r="1040" spans="1:52" ht="15.75" customHeight="1">
      <c r="A1040" s="9"/>
      <c r="B1040" s="9"/>
      <c r="C1040" s="137"/>
      <c r="D1040" s="98"/>
      <c r="E1040" s="98"/>
      <c r="F1040" s="98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</row>
    <row r="1041" spans="1:52" ht="15.75" customHeight="1">
      <c r="A1041" s="9"/>
      <c r="B1041" s="9"/>
      <c r="C1041" s="137"/>
      <c r="D1041" s="98"/>
      <c r="E1041" s="98"/>
      <c r="F1041" s="98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</row>
    <row r="1042" spans="1:52" ht="15.75" customHeight="1">
      <c r="A1042" s="9"/>
      <c r="B1042" s="9"/>
      <c r="C1042" s="137"/>
      <c r="D1042" s="98"/>
      <c r="E1042" s="98"/>
      <c r="F1042" s="98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</row>
    <row r="1043" spans="1:52" ht="15.75" customHeight="1">
      <c r="A1043" s="9"/>
      <c r="B1043" s="9"/>
      <c r="C1043" s="137"/>
      <c r="D1043" s="98"/>
      <c r="E1043" s="98"/>
      <c r="F1043" s="98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</row>
    <row r="1044" spans="1:52" ht="15.75" customHeight="1">
      <c r="A1044" s="9"/>
      <c r="B1044" s="9"/>
      <c r="C1044" s="137"/>
      <c r="D1044" s="98"/>
      <c r="E1044" s="98"/>
      <c r="F1044" s="98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</row>
    <row r="1045" spans="1:52" ht="15.75" customHeight="1">
      <c r="A1045" s="9"/>
      <c r="B1045" s="9"/>
      <c r="C1045" s="137"/>
      <c r="D1045" s="98"/>
      <c r="E1045" s="98"/>
      <c r="F1045" s="98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</row>
    <row r="1046" spans="1:52" ht="15.75" customHeight="1">
      <c r="A1046" s="9"/>
      <c r="B1046" s="9"/>
      <c r="C1046" s="137"/>
      <c r="D1046" s="98"/>
      <c r="E1046" s="98"/>
      <c r="F1046" s="98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</row>
    <row r="1047" spans="1:52" ht="15.75" customHeight="1">
      <c r="A1047" s="9"/>
      <c r="B1047" s="9"/>
      <c r="C1047" s="137"/>
      <c r="D1047" s="98"/>
      <c r="E1047" s="98"/>
      <c r="F1047" s="98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</row>
    <row r="1048" spans="1:52" ht="15.75" customHeight="1">
      <c r="A1048" s="9"/>
      <c r="B1048" s="9"/>
      <c r="C1048" s="137"/>
      <c r="D1048" s="98"/>
      <c r="E1048" s="98"/>
      <c r="F1048" s="98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</row>
    <row r="1049" spans="1:52" ht="15.75" customHeight="1">
      <c r="A1049" s="9"/>
      <c r="B1049" s="9"/>
      <c r="C1049" s="137"/>
      <c r="D1049" s="98"/>
      <c r="E1049" s="98"/>
      <c r="F1049" s="98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</row>
    <row r="1050" spans="1:52" ht="15.75" customHeight="1">
      <c r="A1050" s="9"/>
      <c r="B1050" s="9"/>
      <c r="C1050" s="137"/>
      <c r="D1050" s="98"/>
      <c r="E1050" s="98"/>
      <c r="F1050" s="98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</row>
    <row r="1051" spans="1:52" ht="15.75" customHeight="1">
      <c r="A1051" s="9"/>
      <c r="B1051" s="9"/>
      <c r="C1051" s="137"/>
      <c r="D1051" s="98"/>
      <c r="E1051" s="98"/>
      <c r="F1051" s="98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</row>
    <row r="1052" spans="1:52" ht="15.75" customHeight="1">
      <c r="A1052" s="9"/>
      <c r="B1052" s="9"/>
      <c r="C1052" s="137"/>
      <c r="D1052" s="98"/>
      <c r="E1052" s="98"/>
      <c r="F1052" s="98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</row>
    <row r="1053" spans="1:52" ht="15.75" customHeight="1">
      <c r="A1053" s="9"/>
      <c r="B1053" s="9"/>
      <c r="C1053" s="137"/>
      <c r="D1053" s="98"/>
      <c r="E1053" s="98"/>
      <c r="F1053" s="98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</row>
    <row r="1054" spans="1:52" ht="15.75" customHeight="1">
      <c r="A1054" s="9"/>
      <c r="B1054" s="9"/>
      <c r="C1054" s="137"/>
      <c r="D1054" s="98"/>
      <c r="E1054" s="98"/>
      <c r="F1054" s="98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</row>
    <row r="1055" spans="1:52" ht="15.75" customHeight="1">
      <c r="A1055" s="9"/>
      <c r="B1055" s="9"/>
      <c r="C1055" s="137"/>
      <c r="D1055" s="98"/>
      <c r="E1055" s="98"/>
      <c r="F1055" s="98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</row>
    <row r="1056" spans="1:52" ht="15.75" customHeight="1">
      <c r="A1056" s="9"/>
      <c r="B1056" s="9"/>
      <c r="C1056" s="137"/>
      <c r="D1056" s="98"/>
      <c r="E1056" s="98"/>
      <c r="F1056" s="98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</row>
    <row r="1057" spans="1:52" ht="15.75" customHeight="1">
      <c r="A1057" s="9"/>
      <c r="B1057" s="9"/>
      <c r="C1057" s="137"/>
      <c r="D1057" s="98"/>
      <c r="E1057" s="98"/>
      <c r="F1057" s="98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</row>
    <row r="1058" spans="1:52" ht="15.75" customHeight="1">
      <c r="A1058" s="9"/>
      <c r="B1058" s="9"/>
      <c r="C1058" s="137"/>
      <c r="D1058" s="98"/>
      <c r="E1058" s="98"/>
      <c r="F1058" s="98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</row>
    <row r="1059" spans="1:52" ht="15.75" customHeight="1">
      <c r="A1059" s="9"/>
      <c r="B1059" s="9"/>
      <c r="C1059" s="137"/>
      <c r="D1059" s="98"/>
      <c r="E1059" s="98"/>
      <c r="F1059" s="98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</row>
    <row r="1060" spans="1:52" ht="15.75" customHeight="1">
      <c r="A1060" s="9"/>
      <c r="B1060" s="9"/>
      <c r="C1060" s="137"/>
      <c r="D1060" s="98"/>
      <c r="E1060" s="98"/>
      <c r="F1060" s="98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</row>
    <row r="1061" spans="1:52" ht="15.75" customHeight="1">
      <c r="A1061" s="9"/>
      <c r="B1061" s="9"/>
      <c r="C1061" s="137"/>
      <c r="D1061" s="98"/>
      <c r="E1061" s="98"/>
      <c r="F1061" s="98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</row>
    <row r="1062" spans="1:52" ht="15.75" customHeight="1">
      <c r="A1062" s="9"/>
      <c r="B1062" s="9"/>
      <c r="C1062" s="137"/>
      <c r="D1062" s="98"/>
      <c r="E1062" s="98"/>
      <c r="F1062" s="98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</row>
  </sheetData>
  <mergeCells count="178">
    <mergeCell ref="I153:L153"/>
    <mergeCell ref="I154:L154"/>
    <mergeCell ref="U2:X2"/>
    <mergeCell ref="I85:L85"/>
    <mergeCell ref="I100:L100"/>
    <mergeCell ref="M2:P2"/>
    <mergeCell ref="I22:L22"/>
    <mergeCell ref="I115:L115"/>
    <mergeCell ref="I93:L93"/>
    <mergeCell ref="I102:L102"/>
    <mergeCell ref="U3:X3"/>
    <mergeCell ref="M6:P6"/>
    <mergeCell ref="A1:A3"/>
    <mergeCell ref="Q5:T5"/>
    <mergeCell ref="I150:L150"/>
    <mergeCell ref="I103:L103"/>
    <mergeCell ref="I37:L37"/>
    <mergeCell ref="I97:L97"/>
    <mergeCell ref="I21:L21"/>
    <mergeCell ref="I152:L152"/>
    <mergeCell ref="Q6:T6"/>
    <mergeCell ref="I111:L111"/>
    <mergeCell ref="I23:L23"/>
    <mergeCell ref="I63:L63"/>
    <mergeCell ref="I50:L50"/>
    <mergeCell ref="I34:L34"/>
    <mergeCell ref="I105:L105"/>
    <mergeCell ref="I49:L49"/>
    <mergeCell ref="I27:L27"/>
    <mergeCell ref="I120:L120"/>
    <mergeCell ref="I36:L36"/>
    <mergeCell ref="I101:L101"/>
    <mergeCell ref="I116:L116"/>
    <mergeCell ref="Q8:T8"/>
    <mergeCell ref="I113:L113"/>
    <mergeCell ref="I91:L91"/>
    <mergeCell ref="I151:L151"/>
    <mergeCell ref="I89:L89"/>
    <mergeCell ref="C8:C9"/>
    <mergeCell ref="I135:L135"/>
    <mergeCell ref="I144:L144"/>
    <mergeCell ref="I72:L72"/>
    <mergeCell ref="I24:L24"/>
    <mergeCell ref="I33:L33"/>
    <mergeCell ref="I42:L42"/>
    <mergeCell ref="I17:L17"/>
    <mergeCell ref="I88:L88"/>
    <mergeCell ref="I148:L148"/>
    <mergeCell ref="I82:L82"/>
    <mergeCell ref="I35:L35"/>
    <mergeCell ref="I10:L10"/>
    <mergeCell ref="I19:L19"/>
    <mergeCell ref="I99:L99"/>
    <mergeCell ref="I74:L74"/>
    <mergeCell ref="F8:F9"/>
    <mergeCell ref="I30:L30"/>
    <mergeCell ref="I118:L118"/>
    <mergeCell ref="I149:L149"/>
    <mergeCell ref="I31:L31"/>
    <mergeCell ref="U4:X4"/>
    <mergeCell ref="Q3:T3"/>
    <mergeCell ref="I77:L77"/>
    <mergeCell ref="I133:L133"/>
    <mergeCell ref="I15:L15"/>
    <mergeCell ref="I108:L108"/>
    <mergeCell ref="I86:L86"/>
    <mergeCell ref="I80:L80"/>
    <mergeCell ref="I95:L95"/>
    <mergeCell ref="M5:P5"/>
    <mergeCell ref="I147:L147"/>
    <mergeCell ref="I131:L131"/>
    <mergeCell ref="I18:L18"/>
    <mergeCell ref="I58:L58"/>
    <mergeCell ref="I83:L83"/>
    <mergeCell ref="M8:P8"/>
    <mergeCell ref="I20:L20"/>
    <mergeCell ref="I29:L29"/>
    <mergeCell ref="I94:L94"/>
    <mergeCell ref="I13:L13"/>
    <mergeCell ref="I84:L84"/>
    <mergeCell ref="AJ8:AN8"/>
    <mergeCell ref="I81:L81"/>
    <mergeCell ref="I90:L90"/>
    <mergeCell ref="I136:L136"/>
    <mergeCell ref="I145:L145"/>
    <mergeCell ref="I8:L9"/>
    <mergeCell ref="I129:L129"/>
    <mergeCell ref="I16:L16"/>
    <mergeCell ref="I76:L76"/>
    <mergeCell ref="I25:L25"/>
    <mergeCell ref="AE8:AI8"/>
    <mergeCell ref="I141:L141"/>
    <mergeCell ref="I75:L75"/>
    <mergeCell ref="I28:L28"/>
    <mergeCell ref="I12:L12"/>
    <mergeCell ref="I143:L143"/>
    <mergeCell ref="I117:L117"/>
    <mergeCell ref="I92:L92"/>
    <mergeCell ref="I55:L55"/>
    <mergeCell ref="I67:L67"/>
    <mergeCell ref="I14:L14"/>
    <mergeCell ref="I48:L48"/>
    <mergeCell ref="I78:L78"/>
    <mergeCell ref="I2:J2"/>
    <mergeCell ref="Q2:T2"/>
    <mergeCell ref="I138:L138"/>
    <mergeCell ref="I59:L59"/>
    <mergeCell ref="I60:L60"/>
    <mergeCell ref="I69:L69"/>
    <mergeCell ref="I140:L140"/>
    <mergeCell ref="I124:L124"/>
    <mergeCell ref="I11:L11"/>
    <mergeCell ref="I45:L45"/>
    <mergeCell ref="I126:L126"/>
    <mergeCell ref="I47:L47"/>
    <mergeCell ref="Q4:T4"/>
    <mergeCell ref="I87:L87"/>
    <mergeCell ref="I62:L62"/>
    <mergeCell ref="I64:L64"/>
    <mergeCell ref="I79:L79"/>
    <mergeCell ref="I73:L73"/>
    <mergeCell ref="I51:L51"/>
    <mergeCell ref="I128:L128"/>
    <mergeCell ref="I137:L137"/>
    <mergeCell ref="I65:L65"/>
    <mergeCell ref="I139:L139"/>
    <mergeCell ref="Z8:AD8"/>
    <mergeCell ref="I57:L57"/>
    <mergeCell ref="I54:L54"/>
    <mergeCell ref="I32:L32"/>
    <mergeCell ref="I125:L125"/>
    <mergeCell ref="I41:L41"/>
    <mergeCell ref="I134:L134"/>
    <mergeCell ref="I112:L112"/>
    <mergeCell ref="I122:L122"/>
    <mergeCell ref="I56:L56"/>
    <mergeCell ref="I71:L71"/>
    <mergeCell ref="I96:L96"/>
    <mergeCell ref="I127:L127"/>
    <mergeCell ref="I43:L43"/>
    <mergeCell ref="I114:L114"/>
    <mergeCell ref="I98:L98"/>
    <mergeCell ref="I107:L107"/>
    <mergeCell ref="U8:X8"/>
    <mergeCell ref="M3:P3"/>
    <mergeCell ref="I39:L39"/>
    <mergeCell ref="I110:L110"/>
    <mergeCell ref="I44:L44"/>
    <mergeCell ref="I132:L132"/>
    <mergeCell ref="U5:X5"/>
    <mergeCell ref="I46:L46"/>
    <mergeCell ref="U6:X6"/>
    <mergeCell ref="I61:L61"/>
    <mergeCell ref="I70:L70"/>
    <mergeCell ref="D8:D9"/>
    <mergeCell ref="I66:L66"/>
    <mergeCell ref="H8:H9"/>
    <mergeCell ref="I53:L53"/>
    <mergeCell ref="I146:L146"/>
    <mergeCell ref="I121:L121"/>
    <mergeCell ref="I130:L130"/>
    <mergeCell ref="I68:L68"/>
    <mergeCell ref="I52:L52"/>
    <mergeCell ref="I123:L123"/>
    <mergeCell ref="I142:L142"/>
    <mergeCell ref="E8:E9"/>
    <mergeCell ref="G8:G9"/>
    <mergeCell ref="I38:L38"/>
    <mergeCell ref="I109:L109"/>
    <mergeCell ref="I119:L119"/>
    <mergeCell ref="M4:P4"/>
    <mergeCell ref="I40:L40"/>
    <mergeCell ref="I104:L104"/>
    <mergeCell ref="I26:L26"/>
    <mergeCell ref="I106:L106"/>
    <mergeCell ref="H3:H6"/>
    <mergeCell ref="B2:F4"/>
    <mergeCell ref="B8:B9"/>
  </mergeCells>
  <phoneticPr fontId="25" type="noConversion"/>
  <conditionalFormatting sqref="I13:I154">
    <cfRule type="cellIs" priority="23" operator="equal">
      <formula>"1차"</formula>
    </cfRule>
    <cfRule type="cellIs" dxfId="45" priority="24" operator="equal">
      <formula>"고도화"</formula>
    </cfRule>
    <cfRule type="cellIs" dxfId="44" priority="25" operator="equal">
      <formula>"2차"</formula>
    </cfRule>
  </conditionalFormatting>
  <conditionalFormatting sqref="M10:M13 V10:V54 N10:N154 M38:M154 U38:V154">
    <cfRule type="cellIs" dxfId="43" priority="26" operator="equal">
      <formula>"100%"</formula>
    </cfRule>
  </conditionalFormatting>
  <conditionalFormatting sqref="M26">
    <cfRule type="cellIs" dxfId="42" priority="74" operator="equal">
      <formula>"100%"</formula>
    </cfRule>
  </conditionalFormatting>
  <conditionalFormatting sqref="M29:M33 M40:M154">
    <cfRule type="cellIs" dxfId="41" priority="46" operator="lessThan">
      <formula>"100%"</formula>
    </cfRule>
  </conditionalFormatting>
  <conditionalFormatting sqref="M29:M33">
    <cfRule type="cellIs" dxfId="40" priority="44" operator="equal">
      <formula>"100%"</formula>
    </cfRule>
  </conditionalFormatting>
  <conditionalFormatting sqref="M38:M154">
    <cfRule type="cellIs" dxfId="39" priority="60" operator="equal">
      <formula>"0%"</formula>
    </cfRule>
    <cfRule type="cellIs" dxfId="38" priority="61" operator="lessThan">
      <formula>"100%"</formula>
    </cfRule>
  </conditionalFormatting>
  <conditionalFormatting sqref="M10:N10 U10:U16 M11:M16 M18 U18:U19 U21:U25 M26:M28 U27:U34 M30:M32 M34 M36:M37 U40:U54 Q10:R154 V10:V154">
    <cfRule type="cellIs" dxfId="37" priority="22" operator="lessThan">
      <formula>"100%"</formula>
    </cfRule>
  </conditionalFormatting>
  <conditionalFormatting sqref="M17:N17">
    <cfRule type="cellIs" dxfId="36" priority="72" operator="equal">
      <formula>"0%"</formula>
    </cfRule>
    <cfRule type="cellIs" dxfId="35" priority="73" operator="lessThan">
      <formula>"100%"</formula>
    </cfRule>
    <cfRule type="cellIs" dxfId="34" priority="71" operator="equal">
      <formula>"100%"</formula>
    </cfRule>
  </conditionalFormatting>
  <conditionalFormatting sqref="M35:N35">
    <cfRule type="cellIs" dxfId="33" priority="232" operator="lessThan">
      <formula>"100%"</formula>
    </cfRule>
    <cfRule type="cellIs" dxfId="32" priority="231" operator="equal">
      <formula>"0%"</formula>
    </cfRule>
  </conditionalFormatting>
  <conditionalFormatting sqref="M30 N11:N154 U39:V154">
    <cfRule type="cellIs" dxfId="31" priority="76" operator="lessThan">
      <formula>"100%"</formula>
    </cfRule>
    <cfRule type="cellIs" dxfId="30" priority="75" operator="equal">
      <formula>"0%"</formula>
    </cfRule>
  </conditionalFormatting>
  <conditionalFormatting sqref="N22:N24">
    <cfRule type="cellIs" dxfId="29" priority="224" operator="lessThan">
      <formula>"100%"</formula>
    </cfRule>
    <cfRule type="cellIs" dxfId="28" priority="223" operator="equal">
      <formula>"0%"</formula>
    </cfRule>
  </conditionalFormatting>
  <conditionalFormatting sqref="Q10:Q12 M29:M33 Q149:Q154 M40:M154">
    <cfRule type="cellIs" dxfId="27" priority="45" operator="equal">
      <formula>"0%"</formula>
    </cfRule>
  </conditionalFormatting>
  <conditionalFormatting sqref="Q10:R150">
    <cfRule type="cellIs" dxfId="26" priority="4" operator="equal">
      <formula>"100%"</formula>
    </cfRule>
  </conditionalFormatting>
  <conditionalFormatting sqref="R10:R148 M10:N10 U10:U16 M11:M16 Q13:Q148 M18 U18:U19 U21:U25 M26:M28 U27:U34 M30:M32 M34 M36:M37 U40:U54 V10:V154 Q149:R154">
    <cfRule type="cellIs" dxfId="25" priority="21" operator="equal">
      <formula>"0%"</formula>
    </cfRule>
  </conditionalFormatting>
  <conditionalFormatting sqref="R106">
    <cfRule type="cellIs" dxfId="24" priority="6" operator="equal">
      <formula>"0%"</formula>
    </cfRule>
    <cfRule type="cellIs" dxfId="23" priority="7" operator="lessThan">
      <formula>"100%"</formula>
    </cfRule>
  </conditionalFormatting>
  <conditionalFormatting sqref="U10:U13">
    <cfRule type="cellIs" dxfId="22" priority="32" operator="equal">
      <formula>"100%"</formula>
    </cfRule>
  </conditionalFormatting>
  <conditionalFormatting sqref="U36:U37 V36:V38">
    <cfRule type="cellIs" dxfId="21" priority="67" operator="lessThan">
      <formula>"100%"</formula>
    </cfRule>
  </conditionalFormatting>
  <conditionalFormatting sqref="U36:U37">
    <cfRule type="cellIs" dxfId="20" priority="65" operator="equal">
      <formula>"100%"</formula>
    </cfRule>
  </conditionalFormatting>
  <conditionalFormatting sqref="U17:V17">
    <cfRule type="cellIs" dxfId="19" priority="80" operator="equal">
      <formula>"100%"</formula>
    </cfRule>
    <cfRule type="cellIs" dxfId="18" priority="81" operator="equal">
      <formula>"0%"</formula>
    </cfRule>
    <cfRule type="cellIs" dxfId="17" priority="82" operator="lessThan">
      <formula>"100%"</formula>
    </cfRule>
  </conditionalFormatting>
  <conditionalFormatting sqref="U20:V20">
    <cfRule type="cellIs" dxfId="16" priority="159" operator="equal">
      <formula>"0%"</formula>
    </cfRule>
    <cfRule type="cellIs" dxfId="15" priority="160" operator="lessThan">
      <formula>"100%"</formula>
    </cfRule>
  </conditionalFormatting>
  <conditionalFormatting sqref="U26:V26 U29:V30">
    <cfRule type="cellIs" dxfId="14" priority="83" operator="equal">
      <formula>"100%"</formula>
    </cfRule>
  </conditionalFormatting>
  <conditionalFormatting sqref="U26:V26 U30:V30">
    <cfRule type="cellIs" dxfId="13" priority="84" operator="equal">
      <formula>"0%"</formula>
    </cfRule>
    <cfRule type="cellIs" dxfId="12" priority="85" operator="lessThan">
      <formula>"100%"</formula>
    </cfRule>
  </conditionalFormatting>
  <conditionalFormatting sqref="U29:V29">
    <cfRule type="cellIs" dxfId="11" priority="171" operator="equal">
      <formula>"0%"</formula>
    </cfRule>
    <cfRule type="cellIs" dxfId="10" priority="172" operator="lessThan">
      <formula>"100%"</formula>
    </cfRule>
  </conditionalFormatting>
  <conditionalFormatting sqref="U35:V35">
    <cfRule type="cellIs" dxfId="9" priority="243" operator="lessThan">
      <formula>"100%"</formula>
    </cfRule>
    <cfRule type="cellIs" dxfId="8" priority="242" operator="equal">
      <formula>"0%"</formula>
    </cfRule>
  </conditionalFormatting>
  <conditionalFormatting sqref="U38:V38">
    <cfRule type="cellIs" dxfId="7" priority="96" operator="equal">
      <formula>"0%"</formula>
    </cfRule>
    <cfRule type="cellIs" dxfId="6" priority="97" operator="lessThan">
      <formula>"100%"</formula>
    </cfRule>
  </conditionalFormatting>
  <conditionalFormatting sqref="V29">
    <cfRule type="cellIs" dxfId="5" priority="169" operator="lessThan">
      <formula>"100%"</formula>
    </cfRule>
    <cfRule type="cellIs" dxfId="4" priority="168" operator="equal">
      <formula>"0%"</formula>
    </cfRule>
  </conditionalFormatting>
  <conditionalFormatting sqref="V36:V38 U36:U37">
    <cfRule type="cellIs" dxfId="3" priority="66" operator="equal">
      <formula>"0%"</formula>
    </cfRule>
  </conditionalFormatting>
  <conditionalFormatting sqref="V38">
    <cfRule type="cellIs" dxfId="2" priority="94" operator="lessThan">
      <formula>"100%"</formula>
    </cfRule>
    <cfRule type="cellIs" dxfId="1" priority="93" operator="equal">
      <formula>"0%"</formula>
    </cfRule>
  </conditionalFormatting>
  <conditionalFormatting sqref="Q151:R154">
    <cfRule type="cellIs" dxfId="0" priority="1" operator="equal">
      <formula>"100%"</formula>
    </cfRule>
  </conditionalFormatting>
  <dataValidations count="1">
    <dataValidation type="list" allowBlank="1" showErrorMessage="1" sqref="H109" xr:uid="{00000000-0002-0000-0000-000000000000}">
      <formula1>"1차,2차,3차,고도화"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 세부 개발 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ibank</dc:creator>
  <cp:lastModifiedBy>조준형</cp:lastModifiedBy>
  <dcterms:created xsi:type="dcterms:W3CDTF">2024-08-19T09:58:16Z</dcterms:created>
  <dcterms:modified xsi:type="dcterms:W3CDTF">2026-05-23T05:16:23Z</dcterms:modified>
</cp:coreProperties>
</file>